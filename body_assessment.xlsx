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Measurements" sheetId="2" state="visible" r:id="rId4"/>
    <sheet name="Summary" sheetId="3" state="visible" r:id="rId5"/>
    <sheet name="Attributes" sheetId="4" state="visible" r:id="rId6"/>
    <sheet name="Purposes" sheetId="5" state="visible" r:id="rId7"/>
    <sheet name="Plan" sheetId="6" state="visible" r:id="rId8"/>
    <sheet name="Parameters" sheetId="7" state="visible" r:id="rId9"/>
    <sheet name="Report" sheetId="8" state="visible" r:id="rId10"/>
    <sheet name="Strength" sheetId="9" state="visible" r:id="rId11"/>
  </sheets>
  <definedNames>
    <definedName function="false" hidden="false" name="c_attr" vbProcedure="false">Attributes!$B$10</definedName>
    <definedName function="false" hidden="false" name="c_composite" vbProcedure="false">Summary!$B$13</definedName>
    <definedName function="false" hidden="false" name="c_mode" vbProcedure="false">Summary!$B$3</definedName>
    <definedName function="false" hidden="false" name="c_purp" vbProcedure="false">Purposes!$B$8</definedName>
    <definedName function="false" hidden="false" name="m_age" vbProcedure="false">Report!$B$9</definedName>
    <definedName function="false" hidden="false" name="m_ankle" vbProcedure="false">Report!$B$43</definedName>
    <definedName function="false" hidden="false" name="m_ankle_l" vbProcedure="false">Report!$B$33</definedName>
    <definedName function="false" hidden="false" name="m_ankle_r" vbProcedure="false">Report!$B$34</definedName>
    <definedName function="false" hidden="false" name="m_arm" vbProcedure="false">Report!$B$37</definedName>
    <definedName function="false" hidden="false" name="m_arm_l" vbProcedure="false">Report!$B$21</definedName>
    <definedName function="false" hidden="false" name="m_arm_r" vbProcedure="false">Report!$B$22</definedName>
    <definedName function="false" hidden="false" name="m_calf" vbProcedure="false">Report!$B$41</definedName>
    <definedName function="false" hidden="false" name="m_calf_l" vbProcedure="false">Report!$B$29</definedName>
    <definedName function="false" hidden="false" name="m_calf_r" vbProcedure="false">Report!$B$30</definedName>
    <definedName function="false" hidden="false" name="m_calf_relaxed" vbProcedure="false">Report!$B$42</definedName>
    <definedName function="false" hidden="false" name="m_calf_relaxed_l" vbProcedure="false">Report!$B$31</definedName>
    <definedName function="false" hidden="false" name="m_calf_relaxed_r" vbProcedure="false">Report!$B$32</definedName>
    <definedName function="false" hidden="false" name="m_chest" vbProcedure="false">Report!$B$13</definedName>
    <definedName function="false" hidden="false" name="m_chest_relaxed" vbProcedure="false">Report!$B$14</definedName>
    <definedName function="false" hidden="false" name="m_forearm" vbProcedure="false">Report!$B$36</definedName>
    <definedName function="false" hidden="false" name="m_forearm_l" vbProcedure="false">Report!$B$19</definedName>
    <definedName function="false" hidden="false" name="m_forearm_r" vbProcedure="false">Report!$B$20</definedName>
    <definedName function="false" hidden="false" name="m_height" vbProcedure="false">Report!$B$7</definedName>
    <definedName function="false" hidden="false" name="m_hips" vbProcedure="false">Report!$B$16</definedName>
    <definedName function="false" hidden="false" name="m_knee" vbProcedure="false">Report!$B$40</definedName>
    <definedName function="false" hidden="false" name="m_knee_l" vbProcedure="false">Report!$B$27</definedName>
    <definedName function="false" hidden="false" name="m_knee_r" vbProcedure="false">Report!$B$28</definedName>
    <definedName function="false" hidden="false" name="m_neck" vbProcedure="false">Report!$B$11</definedName>
    <definedName function="false" hidden="false" name="m_sex" vbProcedure="false">Report!$B$10</definedName>
    <definedName function="false" hidden="false" name="m_shoulders" vbProcedure="false">Report!$B$12</definedName>
    <definedName function="false" hidden="false" name="m_thigh" vbProcedure="false">Report!$B$38</definedName>
    <definedName function="false" hidden="false" name="m_thigh_l" vbProcedure="false">Report!$B$23</definedName>
    <definedName function="false" hidden="false" name="m_thigh_r" vbProcedure="false">Report!$B$24</definedName>
    <definedName function="false" hidden="false" name="m_thigh_relaxed" vbProcedure="false">Report!$B$39</definedName>
    <definedName function="false" hidden="false" name="m_thigh_relaxed_l" vbProcedure="false">Report!$B$25</definedName>
    <definedName function="false" hidden="false" name="m_thigh_relaxed_r" vbProcedure="false">Report!$B$26</definedName>
    <definedName function="false" hidden="false" name="m_waist" vbProcedure="false">Report!$B$15</definedName>
    <definedName function="false" hidden="false" name="m_weight" vbProcedure="false">Report!$B$8</definedName>
    <definedName function="false" hidden="false" name="m_wrist" vbProcedure="false">Report!$B$35</definedName>
    <definedName function="false" hidden="false" name="m_wrist_l" vbProcedure="false">Report!$B$17</definedName>
    <definedName function="false" hidden="false" name="m_wrist_r" vbProcedure="false">Report!$B$18</definedName>
    <definedName function="false" hidden="false" name="pl_ratio_bench" vbProcedure="false">Parameters!$G$202</definedName>
    <definedName function="false" hidden="false" name="pl_ratio_squat" vbProcedure="false">Parameters!$G$196</definedName>
    <definedName function="false" hidden="false" name="p_berkhan_bf" vbProcedure="false">Parameters!$B$9</definedName>
    <definedName function="false" hidden="false" name="p_berkhan_offset" vbProcedure="false">Parameters!$B$8</definedName>
    <definedName function="false" hidden="false" name="p_butt_a" vbProcedure="false">Parameters!$B$6</definedName>
    <definedName function="false" hidden="false" name="p_butt_bf" vbProcedure="false">Parameters!$B$7</definedName>
    <definedName function="false" hidden="false" name="p_butt_w" vbProcedure="false">Parameters!$B$5</definedName>
    <definedName function="false" hidden="false" name="p_cm_per_in" vbProcedure="false">Parameters!$B$12</definedName>
    <definedName function="false" hidden="false" name="p_cooper_a" vbProcedure="false">Parameters!$B$23</definedName>
    <definedName function="false" hidden="false" name="p_cooper_b" vbProcedure="false">Parameters!$B$24</definedName>
    <definedName function="false" hidden="false" name="p_cyc_a" vbProcedure="false">Parameters!$B$33</definedName>
    <definedName function="false" hidden="false" name="p_cyc_b" vbProcedure="false">Parameters!$B$34</definedName>
    <definedName function="false" hidden="false" name="p_dev_tol" vbProcedure="false">Parameters!$B$17</definedName>
    <definedName function="false" hidden="false" name="p_ffmi_alt_f" vbProcedure="false">Parameters!$B$38</definedName>
    <definedName function="false" hidden="false" name="p_ffmi_ceiling" vbProcedure="false">Parameters!$D$71</definedName>
    <definedName function="false" hidden="false" name="p_ffmi_norm" vbProcedure="false">Parameters!$D$72</definedName>
    <definedName function="false" hidden="false" name="p_ffmi_ref_h" vbProcedure="false">Parameters!$B$11</definedName>
    <definedName function="false" hidden="false" name="p_ffmi_slope" vbProcedure="false">Parameters!$B$10</definedName>
    <definedName function="false" hidden="false" name="p_kg_per_lb" vbProcedure="false">Parameters!$B$13</definedName>
    <definedName function="false" hidden="false" name="p_loss_rate_hi" vbProcedure="false">Parameters!$B$51</definedName>
    <definedName function="false" hidden="false" name="p_loss_rate_lo" vbProcedure="false">Parameters!$B$50</definedName>
    <definedName function="false" hidden="false" name="p_lr_tol_cm" vbProcedure="false">Parameters!$B$3</definedName>
    <definedName function="false" hidden="false" name="p_navy_a" vbProcedure="false">Parameters!$D$58</definedName>
    <definedName function="false" hidden="false" name="p_navy_b" vbProcedure="false">Parameters!$D$59</definedName>
    <definedName function="false" hidden="false" name="p_navy_c" vbProcedure="false">Parameters!$D$60</definedName>
    <definedName function="false" hidden="false" name="p_navy_hip" vbProcedure="false">Parameters!$D$62</definedName>
    <definedName function="false" hidden="false" name="p_navy_k1" vbProcedure="false">Parameters!$D$57</definedName>
    <definedName function="false" hidden="false" name="p_navy_k2" vbProcedure="false">Parameters!$D$61</definedName>
    <definedName function="false" hidden="false" name="p_protein_hi" vbProcedure="false">Parameters!$B$53</definedName>
    <definedName function="false" hidden="false" name="p_protein_lo" vbProcedure="false">Parameters!$B$52</definedName>
    <definedName function="false" hidden="false" name="p_ratio_ideal" vbProcedure="false">Parameters!$E$77:$E$85</definedName>
    <definedName function="false" hidden="false" name="p_ratio_keys" vbProcedure="false">Parameters!$A$77:$A$85</definedName>
    <definedName function="false" hidden="false" name="p_rock_a" vbProcedure="false">Parameters!$B$18</definedName>
    <definedName function="false" hidden="false" name="p_rock_b" vbProcedure="false">Parameters!$B$19</definedName>
    <definedName function="false" hidden="false" name="p_rock_c" vbProcedure="false">Parameters!$B$20</definedName>
    <definedName function="false" hidden="false" name="p_rock_d" vbProcedure="false">Parameters!$D$69</definedName>
    <definedName function="false" hidden="false" name="p_rock_e" vbProcedure="false">Parameters!$B$21</definedName>
    <definedName function="false" hidden="false" name="p_rock_f" vbProcedure="false">Parameters!$B$22</definedName>
    <definedName function="false" hidden="false" name="p_sets_hard_hi" vbProcedure="false">Parameters!$B$45</definedName>
    <definedName function="false" hidden="false" name="p_sets_hard_lo" vbProcedure="false">Parameters!$B$44</definedName>
    <definedName function="false" hidden="false" name="p_sets_maint_hi" vbProcedure="false">Parameters!$B$49</definedName>
    <definedName function="false" hidden="false" name="p_sets_maint_lo" vbProcedure="false">Parameters!$B$48</definedName>
    <definedName function="false" hidden="false" name="p_sets_med_hi" vbProcedure="false">Parameters!$B$47</definedName>
    <definedName function="false" hidden="false" name="p_sets_med_lo" vbProcedure="false">Parameters!$B$46</definedName>
    <definedName function="false" hidden="false" name="p_size_hard_att" vbProcedure="false">Parameters!$B$41</definedName>
    <definedName function="false" hidden="false" name="p_size_hard_dev" vbProcedure="false">Parameters!$B$40</definedName>
    <definedName function="false" hidden="false" name="p_size_med_att" vbProcedure="false">Parameters!$B$43</definedName>
    <definedName function="false" hidden="false" name="p_size_med_dev" vbProcedure="false">Parameters!$B$42</definedName>
    <definedName function="false" hidden="false" name="p_size_model" vbProcedure="false">Parameters!$D$73</definedName>
    <definedName function="false" hidden="false" name="p_strength_ref" vbProcedure="false">Parameters!$B$35</definedName>
    <definedName function="false" hidden="false" name="p_target_bf" vbProcedure="false">Parameters!$D$70</definedName>
    <definedName function="false" hidden="false" name="p_vdot_a" vbProcedure="false">Parameters!$B$25</definedName>
    <definedName function="false" hidden="false" name="p_vdot_b" vbProcedure="false">Parameters!$B$26</definedName>
    <definedName function="false" hidden="false" name="p_vdot_c" vbProcedure="false">Parameters!$B$27</definedName>
    <definedName function="false" hidden="false" name="p_vdot_d" vbProcedure="false">Parameters!$B$28</definedName>
    <definedName function="false" hidden="false" name="p_vdot_e" vbProcedure="false">Parameters!$B$29</definedName>
    <definedName function="false" hidden="false" name="p_vdot_f" vbProcedure="false">Parameters!$B$30</definedName>
    <definedName function="false" hidden="false" name="p_vdot_g" vbProcedure="false">Parameters!$B$31</definedName>
    <definedName function="false" hidden="false" name="p_vdot_h" vbProcedure="false">Parameters!$B$32</definedName>
    <definedName function="false" hidden="false" name="p_wathan_a" vbProcedure="false">Parameters!$B$14</definedName>
    <definedName function="false" hidden="false" name="p_wathan_b" vbProcedure="false">Parameters!$B$15</definedName>
    <definedName function="false" hidden="false" name="p_wathan_k" vbProcedure="false">Parameters!$B$16</definedName>
    <definedName function="false" hidden="false" name="p_whr_ideal" vbProcedure="false">Parameters!$B$37</definedName>
    <definedName function="false" hidden="false" name="p_whtr_best" vbProcedure="false">Parameters!$B$39</definedName>
    <definedName function="false" hidden="false" name="p_whtr_limit" vbProcedure="false">Parameters!$B$4</definedName>
    <definedName function="false" hidden="false" name="p_whtr_zero" vbProcedure="false">Parameters!$B$36</definedName>
    <definedName function="false" hidden="false" name="p_wilks_a" vbProcedure="false">Parameters!$D$63</definedName>
    <definedName function="false" hidden="false" name="p_wilks_b" vbProcedure="false">Parameters!$D$64</definedName>
    <definedName function="false" hidden="false" name="p_wilks_c" vbProcedure="false">Parameters!$D$65</definedName>
    <definedName function="false" hidden="false" name="p_wilks_d" vbProcedure="false">Parameters!$D$66</definedName>
    <definedName function="false" hidden="false" name="p_wilks_e" vbProcedure="false">Parameters!$D$67</definedName>
    <definedName function="false" hidden="false" name="p_wilks_f" vbProcedure="false">Parameters!$D$68</definedName>
    <definedName function="false" hidden="false" name="r_aes_dist" vbProcedure="false">Report!$B$78</definedName>
    <definedName function="false" hidden="false" name="r_bf" vbProcedure="false">Report!$B$49</definedName>
    <definedName function="false" hidden="false" name="r_col" vbProcedure="false">Report!$B$3</definedName>
    <definedName function="false" hidden="false" name="r_date" vbProcedure="false">Report!$B$2</definedName>
    <definedName function="false" hidden="false" name="r_fit_pct" vbProcedure="false">Report!$B$64</definedName>
    <definedName function="false" hidden="false" name="r_girth_att" vbProcedure="false">Report!$D$106:$D$111</definedName>
    <definedName function="false" hidden="false" name="r_girth_sites" vbProcedure="false">Report!$A$106:$A$111</definedName>
    <definedName function="false" hidden="false" name="r_lbm" vbProcedure="false">Report!$B$51</definedName>
    <definedName function="false" hidden="false" name="r_ratio_dev" vbProcedure="false">Report!$E$69:$E$77</definedName>
    <definedName function="false" hidden="false" name="r_ratio_keys" vbProcedure="false">Report!$A$69:$A$77</definedName>
    <definedName function="false" hidden="false" name="r_size_ceiling" vbProcedure="false">Report!$B$101</definedName>
    <definedName function="false" hidden="false" name="s_agec" vbProcedure="false">Strength!$B$5</definedName>
    <definedName function="false" hidden="false" name="s_cat_class" vbProcedure="false">Strength!$H$33:$H$37</definedName>
    <definedName function="false" hidden="false" name="s_cat_names" vbProcedure="false">Strength!$A$33:$A$37</definedName>
    <definedName function="false" hidden="false" name="s_gm" vbProcedure="false">Strength!$B$41</definedName>
    <definedName function="false" hidden="false" name="s_mg_class" vbProcedure="false">Strength!$H$60:$H$79</definedName>
    <definedName function="false" hidden="false" name="s_mg_names" vbProcedure="false">Strength!$A$60:$A$79</definedName>
    <definedName function="false" hidden="false" name="s_overall" vbProcedure="false">Strength!$B$39</definedName>
    <definedName function="false" hidden="false" name="s_perkg" vbProcedure="false">Strength!$B$8</definedName>
    <definedName function="false" hidden="false" name="s_plsum" vbProcedure="false">Strength!$B$7</definedName>
    <definedName function="false" hidden="false" name="s_pltotal" vbProcedure="false">Strength!$B$52</definedName>
    <definedName function="false" hidden="false" name="s_plwilks" vbProcedure="false">Strength!$B$53</definedName>
    <definedName function="false" hidden="false" name="s_sym" vbProcedure="false">Strength!$B$42</definedName>
    <definedName function="false" hidden="false" name="s_wilks" vbProcedure="false">Strength!$B$6</definedName>
    <definedName function="false" hidden="false" name="t_agecoef" vbProcedure="false">Parameters!$B$114:$B$190</definedName>
    <definedName function="false" hidden="false" name="t_ages" vbProcedure="false">Parameters!$A$114:$A$190</definedName>
    <definedName function="false" hidden="false" name="t_friend_keys" vbProcedure="false">Parameters!$A$218:$A$245</definedName>
    <definedName function="false" hidden="false" name="t_friend_vals" vbProcedure="false">Parameters!$D$218:$L$245</definedName>
    <definedName function="false" hidden="false" name="t_mins" vbProcedure="false">Parameters!$B$100:$B$108</definedName>
    <definedName function="false" hidden="false" name="t_names" vbProcedure="false">Parameters!$A$100:$A$108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<sst xmlns="http://schemas.openxmlformats.org/spreadsheetml/2006/main" count="1466" uniqueCount="876">
  <si>
    <t xml:space="preserve">Body assessment workbook (men and women)</t>
  </si>
  <si>
    <t xml:space="preserve">What to edit</t>
  </si>
  <si>
    <t xml:space="preserve">Yellow cells with blue text are inputs. Everything else is a formula.</t>
  </si>
  <si>
    <t xml:space="preserve">Measurements: one column per date (date in row 1). Enter sex (male or female) in each column: it selects the body-fat, strength, fitness, size and proportion models. The example column is a typical recreational woman; overwrite or delete it. Leave unmeasured cells blank.</t>
  </si>
  <si>
    <t xml:space="preserve">Report!B2: analysis date. It defaults to the latest date; type a date to analyse an earlier column.</t>
  </si>
  <si>
    <t xml:space="preserve">Parameters: shared constants, a sex-specific table (male / female / in use), ideal ratios (each tagged male or female), lift factors for each sex, and model sources.</t>
  </si>
  <si>
    <t xml:space="preserve">Required inputs</t>
  </si>
  <si>
    <t xml:space="preserve">Everyone: height, weight, age, sex, neck and waist; wrist and ankle (men's size ceiling). Women also need hips (body fat and proportion). Missing girths blank out their own rows only.</t>
  </si>
  <si>
    <t xml:space="preserve">Sheets</t>
  </si>
  <si>
    <t xml:space="preserve">Summary: five attributes on 0-1 scales (leanness, fitness, strength, size, proportion), each measured once, combined by a weighted geometric mean.</t>
  </si>
  <si>
    <t xml:space="preserve">Weights: Purposes sheet (rank health, looks and performance; simplest) or Attributes sheet (rank the five attributes directly; full control; 0 points leaves one out). Summary!B3 chooses which one drives the composite. Both default to equal ranks.</t>
  </si>
  <si>
    <t xml:space="preserve">Report: body composition, fitness, proportion, left/right symmetry, size ceilings. Strength: Symmetric Strength method (1RMs, rep maxes, scores, tiers, symmetry, Wilks, muscle groups). Plan: waist milestones, cardio targets, strength and size priorities, tiers per muscle group, exercises ranked.</t>
  </si>
  <si>
    <t xml:space="preserve">Lifts</t>
  </si>
  <si>
    <t xml:space="preserve">Enter lifts in Measurements, same date column as the body measurements. Load = total weight moved (bar + plates + collars) or stack load; for chin-up, pull-up and dip, the added weight (negative if assisted). Reps to failure, 1-10. 45-degree leg press: sled + plates.</t>
  </si>
  <si>
    <t xml:space="preserve">Weighing the load</t>
  </si>
  <si>
    <t xml:space="preserve">Bar: weigh yourself on a bathroom scale, then again holding the bar level across your body; the difference is the bar. Repeat and average. Plates: small ones on a kitchen scale, large ones like the bar. Weigh collars too. Machine stacks: enter the number shown.</t>
  </si>
  <si>
    <t xml:space="preserve">Measuring</t>
  </si>
  <si>
    <t xml:space="preserve">Waist: men at the navel; women at the narrowest point. Standing, end of a normal exhalation, belly neither pulled in nor pushed out. Hips: widest point of the buttocks. Butt's model uses relaxed chest, thigh and calf; the classical ratios use flexed/largest girths; both rows exist.</t>
  </si>
  <si>
    <t xml:space="preserve">General caveats</t>
  </si>
  <si>
    <t xml:space="preserve">Tape-based body fat has a standard error of about 3-4 percentage points. Potential models describe elite drug-free athletes: an upper envelope, not an expectation. Ratios marked ESTIMATE or USER ASSUMPTION on Parameters are not from Symmetric Strength.</t>
  </si>
  <si>
    <t xml:space="preserve">Additional limitations of the female assessment</t>
  </si>
  <si>
    <t xml:space="preserve">Size: Casey Butt's frame-based formula and his maximum girths exist for men only. Women are scored against a height-only FFMI ceiling of 23.9 (97.5th percentile of drug-tested female college athletes, Harty et al. 2019); Symmetric Strength uses 19.2 instead. The true ceiling is uncertain and wrist/ankle frame size is ignored.</t>
  </si>
  <si>
    <t xml:space="preserve">Proportion: there are no classical female limb ideals (no arm/wrist-type ratios). Only two ratios are scored: hips relative to height, implied by a waist/hip ratio of 0.70 at the leanness target (Singh 1993; contested, and based mostly on men's ratings of attractiveness), and shoulders = hips (the workbook's judgment). Treat the proportion score as a weak signal, or give it 0 points.</t>
  </si>
  <si>
    <t xml:space="preserve">Plan: with no female limb ideals and no girth maxima, size tiers exist only for glutes/adductors (hips) and deltoids (shoulders); other muscle groups are tiered from strength alone.</t>
  </si>
  <si>
    <t xml:space="preserve">Strength: squat and bench ratios for women come from Symmetric Strength (women's world records); overhead press and Pendlay row from Strength Level's female ratios; push press and chin-up are scaled estimates. Scores for those lifts will differ from symmetricstrength.com. The leg-press rule is untested for women.</t>
  </si>
  <si>
    <t xml:space="preserve">Body fat and leanness: the female Navy formula needs hips and a natural-waist measurement; the waist-to-height bands (0.5 boundary) are the same for both sexes. Target body fat defaults to 22% (ACE 'fitness' band), a convention.</t>
  </si>
  <si>
    <t xml:space="preserve">Fitness uses FRIEND's female norms (US data). The Cooper 12-minute formula was derived in men.</t>
  </si>
  <si>
    <t xml:space="preserve">Default rankings are neutral. Nothing in the workbook assumes what a woman (or a man) should value; set your own weights.</t>
  </si>
  <si>
    <t xml:space="preserve">key</t>
  </si>
  <si>
    <t xml:space="preserve">Measurement</t>
  </si>
  <si>
    <t xml:space="preserve">Unit</t>
  </si>
  <si>
    <t xml:space="preserve">Protocol</t>
  </si>
  <si>
    <t xml:space="preserve">height</t>
  </si>
  <si>
    <t xml:space="preserve">Height</t>
  </si>
  <si>
    <t xml:space="preserve">cm</t>
  </si>
  <si>
    <t xml:space="preserve">Barefoot, standing tall</t>
  </si>
  <si>
    <t xml:space="preserve">weight</t>
  </si>
  <si>
    <t xml:space="preserve">Body weight</t>
  </si>
  <si>
    <t xml:space="preserve">kg</t>
  </si>
  <si>
    <t xml:space="preserve">Morning, after toilet, before food</t>
  </si>
  <si>
    <t xml:space="preserve">age</t>
  </si>
  <si>
    <t xml:space="preserve">Age</t>
  </si>
  <si>
    <t xml:space="preserve">years</t>
  </si>
  <si>
    <t xml:space="preserve">Age in whole years on this date</t>
  </si>
  <si>
    <t xml:space="preserve">sex</t>
  </si>
  <si>
    <t xml:space="preserve">Sex</t>
  </si>
  <si>
    <t xml:space="preserve">male/female</t>
  </si>
  <si>
    <t xml:space="preserve">male or female: selects the body-fat, strength, fitness, size and proportion models (see Read me for the female limitations)</t>
  </si>
  <si>
    <t xml:space="preserve">female</t>
  </si>
  <si>
    <t xml:space="preserve">neck</t>
  </si>
  <si>
    <t xml:space="preserve">Neck</t>
  </si>
  <si>
    <t xml:space="preserve">Below the Adam's apple, smallest point</t>
  </si>
  <si>
    <t xml:space="preserve">shoulders</t>
  </si>
  <si>
    <t xml:space="preserve">Shoulders</t>
  </si>
  <si>
    <t xml:space="preserve">Around both deltoids at widest point, arms at sides</t>
  </si>
  <si>
    <t xml:space="preserve">chest</t>
  </si>
  <si>
    <t xml:space="preserve">Chest (for proportions)</t>
  </si>
  <si>
    <t xml:space="preserve">Largest girth under the armpits, chest held as you normally stand; for the classical ratios</t>
  </si>
  <si>
    <t xml:space="preserve">chest_relaxed</t>
  </si>
  <si>
    <t xml:space="preserve">Chest, relaxed (for Butt)</t>
  </si>
  <si>
    <t xml:space="preserve">Nipple level, arms at sides, normal breathing; not expanded, lats not flared (Casey Butt)</t>
  </si>
  <si>
    <t xml:space="preserve">waist</t>
  </si>
  <si>
    <t xml:space="preserve">Waist</t>
  </si>
  <si>
    <t xml:space="preserve">Men: horizontal at the navel. Women: at the narrowest point (natural waist). Standing, end of a normal exhalation, belly neither pulled in nor pushed out (US Navy)</t>
  </si>
  <si>
    <t xml:space="preserve">hips</t>
  </si>
  <si>
    <t xml:space="preserve">Hips</t>
  </si>
  <si>
    <t xml:space="preserve">Widest point of the buttocks, feet together. Required for women (body fat and proportion)</t>
  </si>
  <si>
    <t xml:space="preserve">wrist_l</t>
  </si>
  <si>
    <t xml:space="preserve">Wrist (left)</t>
  </si>
  <si>
    <t xml:space="preserve">Hand side of the styloid process (bony lump)</t>
  </si>
  <si>
    <t xml:space="preserve">wrist_r</t>
  </si>
  <si>
    <t xml:space="preserve">Wrist (right)</t>
  </si>
  <si>
    <t xml:space="preserve">forearm_l</t>
  </si>
  <si>
    <t xml:space="preserve">Forearm (left)</t>
  </si>
  <si>
    <t xml:space="preserve">Fist clenched, arm straight, largest point</t>
  </si>
  <si>
    <t xml:space="preserve">forearm_r</t>
  </si>
  <si>
    <t xml:space="preserve">Forearm (right)</t>
  </si>
  <si>
    <t xml:space="preserve">arm_l</t>
  </si>
  <si>
    <t xml:space="preserve">Upper arm (left)</t>
  </si>
  <si>
    <t xml:space="preserve">Flexed, largest point</t>
  </si>
  <si>
    <t xml:space="preserve">arm_r</t>
  </si>
  <si>
    <t xml:space="preserve">Upper arm (right)</t>
  </si>
  <si>
    <t xml:space="preserve">thigh_l</t>
  </si>
  <si>
    <t xml:space="preserve">Thigh (for proportions) (left)</t>
  </si>
  <si>
    <t xml:space="preserve">Largest point, just below the glutes, flexed; for the classical ratios</t>
  </si>
  <si>
    <t xml:space="preserve">thigh_r</t>
  </si>
  <si>
    <t xml:space="preserve">Thigh (for proportions) (right)</t>
  </si>
  <si>
    <t xml:space="preserve">thigh_relaxed_l</t>
  </si>
  <si>
    <t xml:space="preserve">Thigh, relaxed (for Butt) (left)</t>
  </si>
  <si>
    <t xml:space="preserve">Midway between hip and knee, standing, leg relaxed (Casey Butt)</t>
  </si>
  <si>
    <t xml:space="preserve">thigh_relaxed_r</t>
  </si>
  <si>
    <t xml:space="preserve">Thigh, relaxed (for Butt) (right)</t>
  </si>
  <si>
    <t xml:space="preserve">knee_l</t>
  </si>
  <si>
    <t xml:space="preserve">Knee (left)</t>
  </si>
  <si>
    <t xml:space="preserve">Leg straight, around the middle of the kneecap</t>
  </si>
  <si>
    <t xml:space="preserve">knee_r</t>
  </si>
  <si>
    <t xml:space="preserve">Knee (right)</t>
  </si>
  <si>
    <t xml:space="preserve">calf_l</t>
  </si>
  <si>
    <t xml:space="preserve">Calf (for proportions) (left)</t>
  </si>
  <si>
    <t xml:space="preserve">Largest point, flexed; for the classical ratios</t>
  </si>
  <si>
    <t xml:space="preserve">calf_r</t>
  </si>
  <si>
    <t xml:space="preserve">Calf (for proportions) (right)</t>
  </si>
  <si>
    <t xml:space="preserve">calf_relaxed_l</t>
  </si>
  <si>
    <t xml:space="preserve">Calf, relaxed (for Butt) (left)</t>
  </si>
  <si>
    <t xml:space="preserve">Largest point, standing relaxed, heels on the floor (Casey Butt)</t>
  </si>
  <si>
    <t xml:space="preserve">calf_relaxed_r</t>
  </si>
  <si>
    <t xml:space="preserve">Calf, relaxed (for Butt) (right)</t>
  </si>
  <si>
    <t xml:space="preserve">ankle_l</t>
  </si>
  <si>
    <t xml:space="preserve">Ankle (left)</t>
  </si>
  <si>
    <t xml:space="preserve">Smallest point above the ankle bones</t>
  </si>
  <si>
    <t xml:space="preserve">ankle_r</t>
  </si>
  <si>
    <t xml:space="preserve">Ankle (right)</t>
  </si>
  <si>
    <t xml:space="preserve">squat_load</t>
  </si>
  <si>
    <t xml:space="preserve">Back squat: load</t>
  </si>
  <si>
    <t xml:space="preserve">Below parallel, no knee wraps. Total weight: bar + plates + collars</t>
  </si>
  <si>
    <t xml:space="preserve">squat_reps</t>
  </si>
  <si>
    <t xml:space="preserve">Back squat: reps</t>
  </si>
  <si>
    <t xml:space="preserve">reps</t>
  </si>
  <si>
    <t xml:space="preserve">Reps to failure, whole number 1-10 (decimals are rounded down)</t>
  </si>
  <si>
    <t xml:space="preserve">front_squat_load</t>
  </si>
  <si>
    <t xml:space="preserve">Front squat: load</t>
  </si>
  <si>
    <t xml:space="preserve">front_squat_reps</t>
  </si>
  <si>
    <t xml:space="preserve">Front squat: reps</t>
  </si>
  <si>
    <t xml:space="preserve">leg_press_load</t>
  </si>
  <si>
    <t xml:space="preserve">45-degree leg press: load</t>
  </si>
  <si>
    <t xml:space="preserve">45-degree sled; load = sled + plates; hips stay on the pad</t>
  </si>
  <si>
    <t xml:space="preserve">leg_press_reps</t>
  </si>
  <si>
    <t xml:space="preserve">45-degree leg press: reps</t>
  </si>
  <si>
    <t xml:space="preserve">deadlift_load</t>
  </si>
  <si>
    <t xml:space="preserve">Deadlift: load</t>
  </si>
  <si>
    <t xml:space="preserve">Conventional, no straps. Total weight: bar + plates + collars</t>
  </si>
  <si>
    <t xml:space="preserve">deadlift_reps</t>
  </si>
  <si>
    <t xml:space="preserve">Deadlift: reps</t>
  </si>
  <si>
    <t xml:space="preserve">sumo_deadlift_load</t>
  </si>
  <si>
    <t xml:space="preserve">Sumo deadlift: load</t>
  </si>
  <si>
    <t xml:space="preserve">Sumo stance, no straps. Total weight: bar + plates + collars</t>
  </si>
  <si>
    <t xml:space="preserve">sumo_deadlift_reps</t>
  </si>
  <si>
    <t xml:space="preserve">Sumo deadlift: reps</t>
  </si>
  <si>
    <t xml:space="preserve">power_clean_load</t>
  </si>
  <si>
    <t xml:space="preserve">Power clean: load</t>
  </si>
  <si>
    <t xml:space="preserve">From the floor, racked on the shoulders. Total weight: bar + plates + collars</t>
  </si>
  <si>
    <t xml:space="preserve">power_clean_reps</t>
  </si>
  <si>
    <t xml:space="preserve">Power clean: reps</t>
  </si>
  <si>
    <t xml:space="preserve">bench_load</t>
  </si>
  <si>
    <t xml:space="preserve">Bench press: load</t>
  </si>
  <si>
    <t xml:space="preserve">One-second pause on the chest. Total weight: bar + plates + collars</t>
  </si>
  <si>
    <t xml:space="preserve">bench_reps</t>
  </si>
  <si>
    <t xml:space="preserve">Bench press: reps</t>
  </si>
  <si>
    <t xml:space="preserve">incline_bench_load</t>
  </si>
  <si>
    <t xml:space="preserve">Incline bench press: load</t>
  </si>
  <si>
    <t xml:space="preserve">30-45 degree bench, pause on the chest. Total weight: bar + plates + collars</t>
  </si>
  <si>
    <t xml:space="preserve">incline_bench_reps</t>
  </si>
  <si>
    <t xml:space="preserve">Incline bench press: reps</t>
  </si>
  <si>
    <t xml:space="preserve">dip_load</t>
  </si>
  <si>
    <t xml:space="preserve">Dip: load</t>
  </si>
  <si>
    <t xml:space="preserve">kg added</t>
  </si>
  <si>
    <t xml:space="preserve">Upper arms below parallel. Load = added weight (negative if assisted)</t>
  </si>
  <si>
    <t xml:space="preserve">dip_reps</t>
  </si>
  <si>
    <t xml:space="preserve">Dip: reps</t>
  </si>
  <si>
    <t xml:space="preserve">ohp_load</t>
  </si>
  <si>
    <t xml:space="preserve">Overhead press: load</t>
  </si>
  <si>
    <t xml:space="preserve">Standing, strict. Total weight: bar + plates + collars</t>
  </si>
  <si>
    <t xml:space="preserve">ohp_reps</t>
  </si>
  <si>
    <t xml:space="preserve">Overhead press: reps</t>
  </si>
  <si>
    <t xml:space="preserve">push_press_load</t>
  </si>
  <si>
    <t xml:space="preserve">Push press: load</t>
  </si>
  <si>
    <t xml:space="preserve">Dip and drive. Total weight: bar + plates + collars</t>
  </si>
  <si>
    <t xml:space="preserve">push_press_reps</t>
  </si>
  <si>
    <t xml:space="preserve">Push press: reps</t>
  </si>
  <si>
    <t xml:space="preserve">snatch_press_load</t>
  </si>
  <si>
    <t xml:space="preserve">Snatch press: load</t>
  </si>
  <si>
    <t xml:space="preserve">Snatch grip, bar from behind the neck. Total weight: bar + plates + collars</t>
  </si>
  <si>
    <t xml:space="preserve">snatch_press_reps</t>
  </si>
  <si>
    <t xml:space="preserve">Snatch press: reps</t>
  </si>
  <si>
    <t xml:space="preserve">chin_up_load</t>
  </si>
  <si>
    <t xml:space="preserve">Chin-up: load</t>
  </si>
  <si>
    <t xml:space="preserve">Supinated, dead hang, no kip. Load = added weight (negative if assisted)</t>
  </si>
  <si>
    <t xml:space="preserve">chin_up_reps</t>
  </si>
  <si>
    <t xml:space="preserve">Chin-up: reps</t>
  </si>
  <si>
    <t xml:space="preserve">pull_up_load</t>
  </si>
  <si>
    <t xml:space="preserve">Pull-up: load</t>
  </si>
  <si>
    <t xml:space="preserve">Pronated, dead hang, no kip. Load = added weight (negative if assisted)</t>
  </si>
  <si>
    <t xml:space="preserve">pull_up_reps</t>
  </si>
  <si>
    <t xml:space="preserve">Pull-up: reps</t>
  </si>
  <si>
    <t xml:space="preserve">pendlay_row_load</t>
  </si>
  <si>
    <t xml:space="preserve">Pendlay row: load</t>
  </si>
  <si>
    <t xml:space="preserve">Bar from the floor every rep, back near parallel. Total weight: bar + plates + collars</t>
  </si>
  <si>
    <t xml:space="preserve">pendlay_row_reps</t>
  </si>
  <si>
    <t xml:space="preserve">Pendlay row: reps</t>
  </si>
  <si>
    <t xml:space="preserve">lat_pulldown_load</t>
  </si>
  <si>
    <t xml:space="preserve">Lat pulldown: load</t>
  </si>
  <si>
    <t xml:space="preserve">Stack load as shown on the machine</t>
  </si>
  <si>
    <t xml:space="preserve">lat_pulldown_reps</t>
  </si>
  <si>
    <t xml:space="preserve">Lat pulldown: reps</t>
  </si>
  <si>
    <t xml:space="preserve">seated_cable_row_load</t>
  </si>
  <si>
    <t xml:space="preserve">Seated cable row: load</t>
  </si>
  <si>
    <t xml:space="preserve">seated_cable_row_reps</t>
  </si>
  <si>
    <t xml:space="preserve">Seated cable row: reps</t>
  </si>
  <si>
    <t xml:space="preserve">rockport_time</t>
  </si>
  <si>
    <t xml:space="preserve">Rockport 1-mile walk: time</t>
  </si>
  <si>
    <t xml:space="preserve">min</t>
  </si>
  <si>
    <t xml:space="preserve">Walk 1 mile (1609 m) as fast as possible on flat ground; decimal minutes</t>
  </si>
  <si>
    <t xml:space="preserve">rockport_hr</t>
  </si>
  <si>
    <t xml:space="preserve">Rockport 1-mile walk: heart rate</t>
  </si>
  <si>
    <t xml:space="preserve">bpm</t>
  </si>
  <si>
    <t xml:space="preserve">Heart rate at the finish</t>
  </si>
  <si>
    <t xml:space="preserve">cooper_distance</t>
  </si>
  <si>
    <t xml:space="preserve">Cooper 12-minute run: distance</t>
  </si>
  <si>
    <t xml:space="preserve">m</t>
  </si>
  <si>
    <t xml:space="preserve">Distance covered in 12 minutes</t>
  </si>
  <si>
    <t xml:space="preserve">run_distance</t>
  </si>
  <si>
    <t xml:space="preserve">Timed run: distance</t>
  </si>
  <si>
    <t xml:space="preserve">Any race-effort run, 1.5-42 km</t>
  </si>
  <si>
    <t xml:space="preserve">run_time</t>
  </si>
  <si>
    <t xml:space="preserve">Timed run: time</t>
  </si>
  <si>
    <t xml:space="preserve">Decimal minutes</t>
  </si>
  <si>
    <t xml:space="preserve">cycle_watts</t>
  </si>
  <si>
    <t xml:space="preserve">Cycle ramp test: peak power</t>
  </si>
  <si>
    <t xml:space="preserve">W</t>
  </si>
  <si>
    <t xml:space="preserve">Peak power of a maximal ramp test on an ergometer or smart trainer</t>
  </si>
  <si>
    <t xml:space="preserve">notes</t>
  </si>
  <si>
    <t xml:space="preserve">Notes for this date</t>
  </si>
  <si>
    <t xml:space="preserve">E.g. which girths were flexed</t>
  </si>
  <si>
    <t xml:space="preserve">Example values for a typical recreational woman; replace them with your own. Lifts are sets to failure.</t>
  </si>
  <si>
    <t xml:space="preserve">Summary: five attributes, each measured once</t>
  </si>
  <si>
    <t xml:space="preserve">Analysis date</t>
  </si>
  <si>
    <t xml:space="preserve">Weights from</t>
  </si>
  <si>
    <t xml:space="preserve">purposes</t>
  </si>
  <si>
    <t xml:space="preserve">purposes = rank health, looks and performance (Purposes sheet); attributes = rank the five attributes directly (Attributes sheet)</t>
  </si>
  <si>
    <t xml:space="preserve">attribute</t>
  </si>
  <si>
    <t xml:space="preserve">score (0-1)</t>
  </si>
  <si>
    <t xml:space="preserve">share in use</t>
  </si>
  <si>
    <t xml:space="preserve">ln(score)</t>
  </si>
  <si>
    <t xml:space="preserve">definition</t>
  </si>
  <si>
    <t xml:space="preserve">Leanness</t>
  </si>
  <si>
    <t xml:space="preserve">Waist-to-height: 1 at or below 0.45, 0 at or above 0.6, linear between. The only attribute that uses the waist</t>
  </si>
  <si>
    <t xml:space="preserve">Fitness</t>
  </si>
  <si>
    <t xml:space="preserve">Estimated VO2max as a percentile of people of your sex and age (FRIEND) / 100. Blank until a test is entered</t>
  </si>
  <si>
    <t xml:space="preserve">Strength</t>
  </si>
  <si>
    <t xml:space="preserve">Relative strength: geometric mean of category scores / 100 (100 = age-adjusted Wilks 400, balanced)</t>
  </si>
  <si>
    <t xml:space="preserve">Size</t>
  </si>
  <si>
    <t xml:space="preserve">Lean mass / natural ceiling (men: Casey Butt, frame-based; women: FFMI 23.9 x height^2, Harty 2019)</t>
  </si>
  <si>
    <t xml:space="preserve">Proportion</t>
  </si>
  <si>
    <t xml:space="preserve">Shape: exp(-RMS log deviation from the ideal ratios for your sex. Excludes the waist. Women: only two ratios (hips, shoulders/hips)</t>
  </si>
  <si>
    <t xml:space="preserve">Composite (attribute ranking)</t>
  </si>
  <si>
    <t xml:space="preserve">Composite (purpose ranking)</t>
  </si>
  <si>
    <t xml:space="preserve">Composite in use</t>
  </si>
  <si>
    <t xml:space="preserve">Weighted geometric mean over the attributes that have data: a weak attribute cannot be bought back by a strong one</t>
  </si>
  <si>
    <t xml:space="preserve">Weakest attribute</t>
  </si>
  <si>
    <t xml:space="preserve">Couplings: a smaller waist also raises relative strength (Wilks rewards lower bodyweight) and fitness (VO2max is per kg), so these attributes are less independent than their weights suggest.</t>
  </si>
  <si>
    <t xml:space="preserve">Rank the five attributes directly (for users who want full control)</t>
  </si>
  <si>
    <t xml:space="preserve">Used when Summary!B3 = attributes. Rank 1 = most important, ties allowed; each weight is 1/rank. Or type points (any scale), which override the ranks; 0 points leaves an attribute out, e.g. size for someone not interested in it. Each measurement counts once: proportion excludes the waist, which is scored only under leanness.</t>
  </si>
  <si>
    <t xml:space="preserve">rank</t>
  </si>
  <si>
    <t xml:space="preserve">points</t>
  </si>
  <si>
    <t xml:space="preserve">weight used</t>
  </si>
  <si>
    <t xml:space="preserve">share</t>
  </si>
  <si>
    <t xml:space="preserve">score</t>
  </si>
  <si>
    <t xml:space="preserve">what it measures</t>
  </si>
  <si>
    <t xml:space="preserve">Purposes view of this ranking (read-only)</t>
  </si>
  <si>
    <t xml:space="preserve">Each attribute's share is split equally among the purposes it serves; the purpose score is the geometric mean of its attributes weighted by your attribute ranks. This reads the attribute ranking in purpose terms; it is not the inverse of the Purposes sheet.</t>
  </si>
  <si>
    <t xml:space="preserve">purpose</t>
  </si>
  <si>
    <t xml:space="preserve">share of your weight</t>
  </si>
  <si>
    <t xml:space="preserve">attributes</t>
  </si>
  <si>
    <t xml:space="preserve">Health</t>
  </si>
  <si>
    <t xml:space="preserve">Leanness, fitness, strength</t>
  </si>
  <si>
    <t xml:space="preserve">Looks</t>
  </si>
  <si>
    <t xml:space="preserve">Leanness, size, proportion</t>
  </si>
  <si>
    <t xml:space="preserve">Performance</t>
  </si>
  <si>
    <t xml:space="preserve">Strength, fitness</t>
  </si>
  <si>
    <t xml:space="preserve">Rank purposes instead of attributes</t>
  </si>
  <si>
    <t xml:space="preserve">Each purpose score is the equal-weight geometric mean of the attributes that serve it (Parameters table); the composite is the weighted geometric mean of the purpose scores. Used when Summary!B3 = purposes.</t>
  </si>
  <si>
    <t xml:space="preserve">What this ranking means per attribute</t>
  </si>
  <si>
    <t xml:space="preserve">effective share</t>
  </si>
  <si>
    <t xml:space="preserve">Check: composite from these effective shares</t>
  </si>
  <si>
    <t xml:space="preserve">Each purpose's share is split equally among its attributes that have data, so an attribute serving two purposes collects from both. Ranking purposes fixes the attribute weights; ranking attributes does not fix a unique purpose split, which is why the two directions do not round-trip.</t>
  </si>
  <si>
    <t xml:space="preserve">Plan: where effort pays</t>
  </si>
  <si>
    <t xml:space="preserve">For the size of each lever's effect on the composite, see the notebook's lever ranking. Tiers below are rule-based and editable on Parameters.</t>
  </si>
  <si>
    <t xml:space="preserve">1. Leanness: waist, mostly through diet</t>
  </si>
  <si>
    <t xml:space="preserve">milestone</t>
  </si>
  <si>
    <t xml:space="preserve">waist (cm)</t>
  </si>
  <si>
    <t xml:space="preserve">waist/height</t>
  </si>
  <si>
    <t xml:space="preserve">body fat (Navy)</t>
  </si>
  <si>
    <t xml:space="preserve">weight at current lean mass (kg)</t>
  </si>
  <si>
    <t xml:space="preserve">fat to lose (kg)</t>
  </si>
  <si>
    <t xml:space="preserve">weeks at brisk pace</t>
  </si>
  <si>
    <t xml:space="preserve">weeks at gentle pace</t>
  </si>
  <si>
    <t xml:space="preserve">Now</t>
  </si>
  <si>
    <t xml:space="preserve">Waist-to-height 0.5 boundary</t>
  </si>
  <si>
    <t xml:space="preserve">Full leanness score (whtr_best)</t>
  </si>
  <si>
    <t xml:space="preserve">Weights assume lean mass is kept.</t>
  </si>
  <si>
    <t xml:space="preserve">Calorie deficit</t>
  </si>
  <si>
    <t xml:space="preserve">Protein</t>
  </si>
  <si>
    <t xml:space="preserve">Lifting</t>
  </si>
  <si>
    <t xml:space="preserve">2. Fitness: cardio</t>
  </si>
  <si>
    <t xml:space="preserve">VO2max (ml/kg/min)</t>
  </si>
  <si>
    <t xml:space="preserve">percentile</t>
  </si>
  <si>
    <t xml:space="preserve">Now (mean of tests entered)</t>
  </si>
  <si>
    <t xml:space="preserve">Needed for the 50th percentile (treadmill norms, your age)</t>
  </si>
  <si>
    <t xml:space="preserve">Needed for the 70th percentile (treadmill norms, your age)</t>
  </si>
  <si>
    <t xml:space="preserve">Needed for the 90th percentile (treadmill norms, your age)</t>
  </si>
  <si>
    <t xml:space="preserve">Test</t>
  </si>
  <si>
    <t xml:space="preserve">Volume</t>
  </si>
  <si>
    <t xml:space="preserve">Intensity</t>
  </si>
  <si>
    <t xml:space="preserve">Modes</t>
  </si>
  <si>
    <t xml:space="preserve">3. Scored lifts: where strength gains pay most</t>
  </si>
  <si>
    <t xml:space="preserve">In the geometric mean every category is worth the same per percent of improvement; the weakest lift is usually the cheapest to raise by a given percent (technique, untapped headroom), so it gets the most work.</t>
  </si>
  <si>
    <t xml:space="preserve">category</t>
  </si>
  <si>
    <t xml:space="preserve">best lift</t>
  </si>
  <si>
    <t xml:space="preserve">vs overall</t>
  </si>
  <si>
    <t xml:space="preserve">class</t>
  </si>
  <si>
    <t xml:space="preserve">tier</t>
  </si>
  <si>
    <t xml:space="preserve">squat</t>
  </si>
  <si>
    <t xml:space="preserve">floor pull</t>
  </si>
  <si>
    <t xml:space="preserve">horizontal press</t>
  </si>
  <si>
    <t xml:space="preserve">vertical press</t>
  </si>
  <si>
    <t xml:space="preserve">pull</t>
  </si>
  <si>
    <t xml:space="preserve">4. Body parts: where size gains pay most</t>
  </si>
  <si>
    <t xml:space="preserve">body part</t>
  </si>
  <si>
    <t xml:space="preserve">vs ideal ratio</t>
  </si>
  <si>
    <t xml:space="preserve">of Butt maximum</t>
  </si>
  <si>
    <t xml:space="preserve">size tier</t>
  </si>
  <si>
    <t xml:space="preserve">basis</t>
  </si>
  <si>
    <t xml:space="preserve">arm</t>
  </si>
  <si>
    <t xml:space="preserve">men: arm/wrist (Reeves); women: no ideal</t>
  </si>
  <si>
    <t xml:space="preserve">forearm</t>
  </si>
  <si>
    <t xml:space="preserve">men: forearm/wrist (McCallum); women: no ideal</t>
  </si>
  <si>
    <t xml:space="preserve">men: chest/wrist (McCallum); women: no ideal</t>
  </si>
  <si>
    <t xml:space="preserve">men: shoulders/chest (implied classical ideal); women: shoulders/hips = 1</t>
  </si>
  <si>
    <t xml:space="preserve">thigh</t>
  </si>
  <si>
    <t xml:space="preserve">men: thigh/knee (Reeves); women: no ideal</t>
  </si>
  <si>
    <t xml:space="preserve">calf</t>
  </si>
  <si>
    <t xml:space="preserve">men: calf/ankle (Reeves); women: no ideal</t>
  </si>
  <si>
    <t xml:space="preserve">men: neck/arm (Reeves); no exercises recommended</t>
  </si>
  <si>
    <t xml:space="preserve">women: hips/height implied by waist/hip 0.70 at the leanness target; men: no ideal</t>
  </si>
  <si>
    <t xml:space="preserve">5. Muscle groups: tier = the higher of the strength tier and the size tier</t>
  </si>
  <si>
    <t xml:space="preserve">muscle group</t>
  </si>
  <si>
    <t xml:space="preserve">strength class</t>
  </si>
  <si>
    <t xml:space="preserve">strength tier</t>
  </si>
  <si>
    <t xml:space="preserve">size (body part)</t>
  </si>
  <si>
    <t xml:space="preserve">hard sets/week</t>
  </si>
  <si>
    <t xml:space="preserve">_tier#</t>
  </si>
  <si>
    <t xml:space="preserve">Upper traps</t>
  </si>
  <si>
    <t xml:space="preserve">Middle traps</t>
  </si>
  <si>
    <t xml:space="preserve">Lower traps</t>
  </si>
  <si>
    <t xml:space="preserve">Anterior delts</t>
  </si>
  <si>
    <t xml:space="preserve">Lateral delts</t>
  </si>
  <si>
    <t xml:space="preserve">Posterior delts</t>
  </si>
  <si>
    <t xml:space="preserve">Pecs</t>
  </si>
  <si>
    <t xml:space="preserve">Biceps</t>
  </si>
  <si>
    <t xml:space="preserve">Triceps</t>
  </si>
  <si>
    <t xml:space="preserve">Forearms</t>
  </si>
  <si>
    <t xml:space="preserve">Obliques &amp; serratus</t>
  </si>
  <si>
    <t xml:space="preserve">Abdominals</t>
  </si>
  <si>
    <t xml:space="preserve">Lats</t>
  </si>
  <si>
    <t xml:space="preserve">Spinal erectors</t>
  </si>
  <si>
    <t xml:space="preserve">Glutes</t>
  </si>
  <si>
    <t xml:space="preserve">Hamstrings</t>
  </si>
  <si>
    <t xml:space="preserve">Quads</t>
  </si>
  <si>
    <t xml:space="preserve">Hip flexors</t>
  </si>
  <si>
    <t xml:space="preserve">Hip adductors</t>
  </si>
  <si>
    <t xml:space="preserve">Calves</t>
  </si>
  <si>
    <t xml:space="preserve">Groups whose strength class rests on one lift (e.g. hip flexors, adductors: squat only) really point at that lift.</t>
  </si>
  <si>
    <t xml:space="preserve">6. Exercises, highest priority first (compounds before isolations within a tier)</t>
  </si>
  <si>
    <t xml:space="preserve">Compounds take the higher of their pattern's strength tier and their primary group's size tier; isolations take their primary group's size tier (maintenance where the group has no measured body part).</t>
  </si>
  <si>
    <t xml:space="preserve">exercise</t>
  </si>
  <si>
    <t xml:space="preserve">type</t>
  </si>
  <si>
    <t xml:space="preserve">priority</t>
  </si>
  <si>
    <t xml:space="preserve">scored lift</t>
  </si>
  <si>
    <t xml:space="preserve">trains</t>
  </si>
  <si>
    <t xml:space="preserve">Pick one or two compounds per hard group and add isolations for the hard groups a compound cannot reach (calves, biceps, lateral delts). Weekly sets are per muscle group, counting both.</t>
  </si>
  <si>
    <t xml:space="preserve">Scalar parameters</t>
  </si>
  <si>
    <t xml:space="preserve">value</t>
  </si>
  <si>
    <t xml:space="preserve">unit</t>
  </si>
  <si>
    <t xml:space="preserve">meaning and source</t>
  </si>
  <si>
    <t xml:space="preserve">lr_tol_cm</t>
  </si>
  <si>
    <t xml:space="preserve">Left/right difference treated as real. Tape repeatability is about 0.5 cm per reading, so a difference of two readings needs about 1 cm.</t>
  </si>
  <si>
    <t xml:space="preserve">whtr_limit</t>
  </si>
  <si>
    <t xml:space="preserve">ratio</t>
  </si>
  <si>
    <t xml:space="preserve">Waist-to-height boundary ('keep your waist to less than half your height'), Ashwell &amp; Gibson, BMJ Open 2016.</t>
  </si>
  <si>
    <t xml:space="preserve">butt_w</t>
  </si>
  <si>
    <t xml:space="preserve">Casey Butt max lean mass (lb) = H^1.5 * (sqrt(W)/butt_w + sqrt(A)/butt_a) * (BF%/butt_bf + 1), inches. weightrainer.net/potential.html</t>
  </si>
  <si>
    <t xml:space="preserve">butt_a</t>
  </si>
  <si>
    <t xml:space="preserve">Casey Butt, ankle divisor</t>
  </si>
  <si>
    <t xml:space="preserve">butt_bf</t>
  </si>
  <si>
    <t xml:space="preserve">Casey Butt, body-fat divisor (fitted on champions at about 4.5-14% fat)</t>
  </si>
  <si>
    <t xml:space="preserve">berkhan_offset</t>
  </si>
  <si>
    <t xml:space="preserve">cm/kg</t>
  </si>
  <si>
    <t xml:space="preserve">Martin Berkhan: contest weight (kg) = height (cm) - 100. leangains.com/2010/12/maximum-muscular-potential.html</t>
  </si>
  <si>
    <t xml:space="preserve">berkhan_bf</t>
  </si>
  <si>
    <t xml:space="preserve">fraction</t>
  </si>
  <si>
    <t xml:space="preserve">Body fat of Berkhan's contest condition (about 5%)</t>
  </si>
  <si>
    <t xml:space="preserve">ffmi_slope</t>
  </si>
  <si>
    <t xml:space="preserve">kg/m2 per m</t>
  </si>
  <si>
    <t xml:space="preserve">FFMI height normalisation: FFMI + slope*(ref_h - height_m). Kouri et al. 1995.</t>
  </si>
  <si>
    <t xml:space="preserve">ffmi_ref_h</t>
  </si>
  <si>
    <t xml:space="preserve">FFMI reference height</t>
  </si>
  <si>
    <t xml:space="preserve">cm_per_in</t>
  </si>
  <si>
    <t xml:space="preserve">Unit conversion (exact)</t>
  </si>
  <si>
    <t xml:space="preserve">kg_per_lb</t>
  </si>
  <si>
    <t xml:space="preserve">wathan_a</t>
  </si>
  <si>
    <t xml:space="preserve">Wathan 1RM: 1RM = 100*load / (a + b*exp(-k*reps)). Used by Symmetric Strength (LeSuer et al., JSCR 1997)</t>
  </si>
  <si>
    <t xml:space="preserve">wathan_b</t>
  </si>
  <si>
    <t xml:space="preserve">Wathan, b</t>
  </si>
  <si>
    <t xml:space="preserve">wathan_k</t>
  </si>
  <si>
    <t xml:space="preserve">Wathan, k</t>
  </si>
  <si>
    <t xml:space="preserve">dev_tol</t>
  </si>
  <si>
    <t xml:space="preserve">Deviation from the overall strength score treated as real. Judgment: 1RM estimates from sets under 10 reps are typically within about 5%, and lift ratios carry similar uncertainty</t>
  </si>
  <si>
    <t xml:space="preserve">rock_a</t>
  </si>
  <si>
    <t xml:space="preserve">Rockport walk (Kline et al., Med Sci Sports Exerc 1987), men: VO2max = a - b*weight(lb) - c*age + d - e*time(min) - f*HR</t>
  </si>
  <si>
    <t xml:space="preserve">rock_b</t>
  </si>
  <si>
    <t xml:space="preserve">Rockport, weight (lb)</t>
  </si>
  <si>
    <t xml:space="preserve">rock_c</t>
  </si>
  <si>
    <t xml:space="preserve">Rockport, age</t>
  </si>
  <si>
    <t xml:space="preserve">rock_e</t>
  </si>
  <si>
    <t xml:space="preserve">Rockport, time (min)</t>
  </si>
  <si>
    <t xml:space="preserve">rock_f</t>
  </si>
  <si>
    <t xml:space="preserve">Rockport, heart rate (bpm)</t>
  </si>
  <si>
    <t xml:space="preserve">cooper_a</t>
  </si>
  <si>
    <t xml:space="preserve">Cooper 12-min run (Cooper, JAMA 1968): VO2max = (distance - a) / b</t>
  </si>
  <si>
    <t xml:space="preserve">cooper_b</t>
  </si>
  <si>
    <t xml:space="preserve">Cooper, divisor</t>
  </si>
  <si>
    <t xml:space="preserve">vdot_a</t>
  </si>
  <si>
    <t xml:space="preserve">Daniels-Gilbert VDOT: VO2(v) = a + b*v + c*v^2 (v in m/min); fraction(t) = d + e*exp(-f*t) + g*exp(-h*t); VDOT = VO2/fraction</t>
  </si>
  <si>
    <t xml:space="preserve">vdot_b</t>
  </si>
  <si>
    <t xml:space="preserve">VDOT</t>
  </si>
  <si>
    <t xml:space="preserve">vdot_c</t>
  </si>
  <si>
    <t xml:space="preserve">vdot_d</t>
  </si>
  <si>
    <t xml:space="preserve">vdot_e</t>
  </si>
  <si>
    <t xml:space="preserve">vdot_f</t>
  </si>
  <si>
    <t xml:space="preserve">vdot_g</t>
  </si>
  <si>
    <t xml:space="preserve">vdot_h</t>
  </si>
  <si>
    <t xml:space="preserve">cyc_a</t>
  </si>
  <si>
    <t xml:space="preserve">ACSM leg-cycling equation: VO2 = a * W/kg + b. Built for steady submaximal work; at ramp-test peak it is an approximation</t>
  </si>
  <si>
    <t xml:space="preserve">cyc_b</t>
  </si>
  <si>
    <t xml:space="preserve">ACSM cycling, resting + unloaded pedalling</t>
  </si>
  <si>
    <t xml:space="preserve">strength_ref</t>
  </si>
  <si>
    <t xml:space="preserve">Strength score treated as full attainment in the composite. Symmetric Strength: 100 is close to the drug-free limit for lifters under 40</t>
  </si>
  <si>
    <t xml:space="preserve">whtr_zero</t>
  </si>
  <si>
    <t xml:space="preserve">Waist-to-height at which the health score is 0 (Ashwell: 0.6 and above is the 'take action' band)</t>
  </si>
  <si>
    <t xml:space="preserve">whr_ideal</t>
  </si>
  <si>
    <t xml:space="preserve">Women: waist/hip ratio used for the hip ideal (Singh 1993 and later cross-cultural work; contested, see Read me)</t>
  </si>
  <si>
    <t xml:space="preserve">ffmi_alt_f</t>
  </si>
  <si>
    <t xml:space="preserve">kg/m2</t>
  </si>
  <si>
    <t xml:space="preserve">Women, alternative size ceiling: FFMI 19.2 (Symmetric Strength's estimate; 99.9th percentile of women 18-34, Schutz et al. 2002). Shown for comparison only</t>
  </si>
  <si>
    <t xml:space="preserve">whtr_best</t>
  </si>
  <si>
    <t xml:space="preserve">Waist-to-height at which the health score reaches 1. Judgment: middle of Ashwell's 0.4-0.5 healthy band; below 0.4 Ashwell advises 'take care'</t>
  </si>
  <si>
    <t xml:space="preserve">size_hard_dev</t>
  </si>
  <si>
    <t xml:space="preserve">Plan: a body part is 'hard' for size if its bone-anchored ratio is more than 15% below ideal...</t>
  </si>
  <si>
    <t xml:space="preserve">size_hard_att</t>
  </si>
  <si>
    <t xml:space="preserve">...or it is below 85% of Butt's maximum girth</t>
  </si>
  <si>
    <t xml:space="preserve">size_med_dev</t>
  </si>
  <si>
    <t xml:space="preserve">Plan: 'medium' for size if more than 5% below ideal...</t>
  </si>
  <si>
    <t xml:space="preserve">size_med_att</t>
  </si>
  <si>
    <t xml:space="preserve">...or below 95% of Butt's maximum girth; otherwise 'maintenance'</t>
  </si>
  <si>
    <t xml:space="preserve">sets_hard_lo</t>
  </si>
  <si>
    <t xml:space="preserve">sets/week</t>
  </si>
  <si>
    <t xml:space="preserve">Weekly hard sets per muscle group, 'hard' tier (lower). Guideline from dose-response work (Schoenfeld et al. 2017: 10+ sets/week beat fewer)</t>
  </si>
  <si>
    <t xml:space="preserve">sets_hard_hi</t>
  </si>
  <si>
    <t xml:space="preserve">'hard' tier (upper)</t>
  </si>
  <si>
    <t xml:space="preserve">sets_med_lo</t>
  </si>
  <si>
    <t xml:space="preserve">'medium' tier (lower)</t>
  </si>
  <si>
    <t xml:space="preserve">sets_med_hi</t>
  </si>
  <si>
    <t xml:space="preserve">'medium' tier (upper)</t>
  </si>
  <si>
    <t xml:space="preserve">sets_maint_lo</t>
  </si>
  <si>
    <t xml:space="preserve">'maintenance' tier (lower). Bickel et al. 2011: older adults kept gains on about 1/3 of training volume</t>
  </si>
  <si>
    <t xml:space="preserve">sets_maint_hi</t>
  </si>
  <si>
    <t xml:space="preserve">'maintenance' tier (upper)</t>
  </si>
  <si>
    <t xml:space="preserve">loss_rate_lo</t>
  </si>
  <si>
    <t xml:space="preserve">fraction/week</t>
  </si>
  <si>
    <t xml:space="preserve">Fat-loss pace, gentle: 0.5% of bodyweight per week</t>
  </si>
  <si>
    <t xml:space="preserve">loss_rate_hi</t>
  </si>
  <si>
    <t xml:space="preserve">Fat-loss pace, brisk: 1% of bodyweight per week (faster risks lean-mass loss)</t>
  </si>
  <si>
    <t xml:space="preserve">protein_lo</t>
  </si>
  <si>
    <t xml:space="preserve">g/kg/day</t>
  </si>
  <si>
    <t xml:space="preserve">Protein during training (Morton et al., Br J Sports Med 2018: gains plateau near 1.6)</t>
  </si>
  <si>
    <t xml:space="preserve">protein_hi</t>
  </si>
  <si>
    <t xml:space="preserve">Protein, upper end (upper confidence limit in Morton et al. 2018)</t>
  </si>
  <si>
    <t xml:space="preserve">Sex-specific parameters (the 'in use' column follows the sex entered for the analysis date)</t>
  </si>
  <si>
    <t xml:space="preserve">male</t>
  </si>
  <si>
    <t xml:space="preserve">in use</t>
  </si>
  <si>
    <t xml:space="preserve">source</t>
  </si>
  <si>
    <t xml:space="preserve">navy_k1</t>
  </si>
  <si>
    <t xml:space="preserve">US Navy circumference method (Hodgdon &amp; Beckett 1984), metric: BF% = k1 / (a - b*log10(waist + hip*hips - neck) + c*log10(height)) - k2</t>
  </si>
  <si>
    <t xml:space="preserve">navy_a</t>
  </si>
  <si>
    <t xml:space="preserve">Navy, constant</t>
  </si>
  <si>
    <t xml:space="preserve">navy_b</t>
  </si>
  <si>
    <t xml:space="preserve">Navy, log10(waist [+ hips] - neck) coefficient</t>
  </si>
  <si>
    <t xml:space="preserve">navy_c</t>
  </si>
  <si>
    <t xml:space="preserve">Navy, log10(height) coefficient</t>
  </si>
  <si>
    <t xml:space="preserve">navy_k2</t>
  </si>
  <si>
    <t xml:space="preserve">Navy, offset</t>
  </si>
  <si>
    <t xml:space="preserve">navy_hip</t>
  </si>
  <si>
    <t xml:space="preserve">Navy: 1 = hips enter the formula (women only)</t>
  </si>
  <si>
    <t xml:space="preserve">wilks_a</t>
  </si>
  <si>
    <t xml:space="preserve">Original Wilks: coefficient = 500 / (a + b*bw + ... + f*bw^5). Symmetric Strength's scores are built on it</t>
  </si>
  <si>
    <t xml:space="preserve">wilks_b</t>
  </si>
  <si>
    <t xml:space="preserve">Wilks, b</t>
  </si>
  <si>
    <t xml:space="preserve">wilks_c</t>
  </si>
  <si>
    <t xml:space="preserve">Wilks, c</t>
  </si>
  <si>
    <t xml:space="preserve">wilks_d</t>
  </si>
  <si>
    <t xml:space="preserve">Wilks, d</t>
  </si>
  <si>
    <t xml:space="preserve">wilks_e</t>
  </si>
  <si>
    <t xml:space="preserve">Wilks, e</t>
  </si>
  <si>
    <t xml:space="preserve">wilks_f</t>
  </si>
  <si>
    <t xml:space="preserve">Wilks, f</t>
  </si>
  <si>
    <t xml:space="preserve">rock_d</t>
  </si>
  <si>
    <t xml:space="preserve">Rockport walk, sex term (1 for men in Kline 1987, times 6.315)</t>
  </si>
  <si>
    <t xml:space="preserve">target_bf</t>
  </si>
  <si>
    <t xml:space="preserve">Target body fat. Men: 14%; women: 22%, middle of ACE's 21-24% 'fitness' band</t>
  </si>
  <si>
    <t xml:space="preserve">ffmi_ceiling</t>
  </si>
  <si>
    <t xml:space="preserve">Size ceiling (FFMI). Men: 25, height-normalised (Kouri 1995). Women: 23.9, raw, 97.5th percentile of drug-tested female college athletes (Harty et al., J Sports Sci 2019)</t>
  </si>
  <si>
    <t xml:space="preserve">ffmi_norm</t>
  </si>
  <si>
    <t xml:space="preserve">1 = apply the male height normalisation to FFMI (Kouri); women use raw FFMI</t>
  </si>
  <si>
    <t xml:space="preserve">size_model</t>
  </si>
  <si>
    <t xml:space="preserve">Butt</t>
  </si>
  <si>
    <t xml:space="preserve">FFMI</t>
  </si>
  <si>
    <t xml:space="preserve">Primary size ceiling: Casey Butt's frame-based formula exists for men only</t>
  </si>
  <si>
    <t xml:space="preserve">Aesthetic ideal ratios (numerator / denominator)</t>
  </si>
  <si>
    <t xml:space="preserve">numerator</t>
  </si>
  <si>
    <t xml:space="preserve">denominator</t>
  </si>
  <si>
    <t xml:space="preserve">group</t>
  </si>
  <si>
    <t xml:space="preserve">ideal</t>
  </si>
  <si>
    <t xml:space="preserve">arm_wrist</t>
  </si>
  <si>
    <t xml:space="preserve">wrist</t>
  </si>
  <si>
    <t xml:space="preserve">upper</t>
  </si>
  <si>
    <t xml:space="preserve">Reeves, Building the Classic Physique: arm = 252% of wrist</t>
  </si>
  <si>
    <t xml:space="preserve">forearm_wrist</t>
  </si>
  <si>
    <t xml:space="preserve">McCallum (1964): forearm = 29% of chest = 0.29 x 6.5 x wrist</t>
  </si>
  <si>
    <t xml:space="preserve">chest_wrist</t>
  </si>
  <si>
    <t xml:space="preserve">McCallum (1964): chest = 6.5 x wrist</t>
  </si>
  <si>
    <t xml:space="preserve">thigh_knee</t>
  </si>
  <si>
    <t xml:space="preserve">knee</t>
  </si>
  <si>
    <t xml:space="preserve">lower</t>
  </si>
  <si>
    <t xml:space="preserve">Reeves: thigh = 175% of knee</t>
  </si>
  <si>
    <t xml:space="preserve">calf_ankle</t>
  </si>
  <si>
    <t xml:space="preserve">ankle</t>
  </si>
  <si>
    <t xml:space="preserve">Reeves: calf = 192% of ankle</t>
  </si>
  <si>
    <t xml:space="preserve">shoulders_chest</t>
  </si>
  <si>
    <t xml:space="preserve">shape</t>
  </si>
  <si>
    <t xml:space="preserve">Implied by the golden-ratio shoulders/waist (1.618) and McCallum's waist/chest (0.70): 1.618 x 0.70. Waist itself is scored under leanness</t>
  </si>
  <si>
    <t xml:space="preserve">neck_arm</t>
  </si>
  <si>
    <t xml:space="preserve">Reeves: neck, arm and calf equal</t>
  </si>
  <si>
    <t xml:space="preserve">hips_height</t>
  </si>
  <si>
    <t xml:space="preserve">Women: hip ideal implied by a waist/hip ratio of whr_ideal (0.70, Singh 1993) at the leanness target waist (whtr_best x height). Waist itself is scored under leanness</t>
  </si>
  <si>
    <t xml:space="preserve">shoulders_hips</t>
  </si>
  <si>
    <t xml:space="preserve">Women: shoulders about equal to hips (the 'X-frame' balance). Judgment, by analogy with the hourglass definition bust ~ hips (Simmons et al. 2004); bust is not used because it depends on breast tissue</t>
  </si>
  <si>
    <t xml:space="preserve">Casey Butt maximum girths: girth = a*wrist + b*ankle + c*height (linear, so valid in cm)</t>
  </si>
  <si>
    <t xml:space="preserve">site</t>
  </si>
  <si>
    <t xml:space="preserve">a (wrist)</t>
  </si>
  <si>
    <t xml:space="preserve">b (ankle)</t>
  </si>
  <si>
    <t xml:space="preserve">c (height)</t>
  </si>
  <si>
    <t xml:space="preserve">protocol Butt assumes</t>
  </si>
  <si>
    <t xml:space="preserve">measurement used</t>
  </si>
  <si>
    <t xml:space="preserve">relaxed, not expanded</t>
  </si>
  <si>
    <t xml:space="preserve">flexed</t>
  </si>
  <si>
    <t xml:space="preserve">fist clenched, arm straight</t>
  </si>
  <si>
    <t xml:space="preserve">below Adam's apple</t>
  </si>
  <si>
    <t xml:space="preserve">midway hip-knee, standing relaxed</t>
  </si>
  <si>
    <t xml:space="preserve">thigh_relaxed</t>
  </si>
  <si>
    <t xml:space="preserve">standing relaxed</t>
  </si>
  <si>
    <t xml:space="preserve">calf_relaxed</t>
  </si>
  <si>
    <t xml:space="preserve">Source: C. Butt, 'Your Maximum Muscular Bodyweight and Measurements', weightrainer.net/potential.html. Girths are for lean condition, about 8-10% body fat.</t>
  </si>
  <si>
    <t xml:space="preserve">Strength tiers (Symmetric Strength score thresholds)</t>
  </si>
  <si>
    <t xml:space="preserve">min score</t>
  </si>
  <si>
    <t xml:space="preserve">Subpar</t>
  </si>
  <si>
    <t xml:space="preserve">Untrained</t>
  </si>
  <si>
    <t xml:space="preserve">Novice</t>
  </si>
  <si>
    <t xml:space="preserve">Intermediate</t>
  </si>
  <si>
    <t xml:space="preserve">Proficient</t>
  </si>
  <si>
    <t xml:space="preserve">Advanced</t>
  </si>
  <si>
    <t xml:space="preserve">Exceptional</t>
  </si>
  <si>
    <t xml:space="preserve">Elite</t>
  </si>
  <si>
    <t xml:space="preserve">World class</t>
  </si>
  <si>
    <t xml:space="preserve">Source: Symmetric Strength tiers as reported by SensAI (Sept 2026); consistent with the site's FAQ (75 'strong', 100 near the drug-free limit).</t>
  </si>
  <si>
    <t xml:space="preserve">Age coefficients (Foster under 23, McCulloch 40 and over; 1.0 in between)</t>
  </si>
  <si>
    <t xml:space="preserve">coefficient</t>
  </si>
  <si>
    <t xml:space="preserve">Source: USA Powerlifting age-coefficient table (usapowerlifting.com, 2021). Ages outside 14-90 use the nearest end.</t>
  </si>
  <si>
    <t xml:space="preserve">Lifts: ratio to deadlift, and muscle-group membership (1 = the lift trains that group)</t>
  </si>
  <si>
    <t xml:space="preserve">label</t>
  </si>
  <si>
    <t xml:space="preserve">bodyweight lift</t>
  </si>
  <si>
    <t xml:space="preserve">reference</t>
  </si>
  <si>
    <t xml:space="preserve">factor</t>
  </si>
  <si>
    <t xml:space="preserve">ratio to deadlift</t>
  </si>
  <si>
    <t xml:space="preserve">bw offset</t>
  </si>
  <si>
    <t xml:space="preserve">factor (male)</t>
  </si>
  <si>
    <t xml:space="preserve">factor (female)</t>
  </si>
  <si>
    <t xml:space="preserve">Back squat</t>
  </si>
  <si>
    <t xml:space="preserve">deadlift</t>
  </si>
  <si>
    <t xml:space="preserve">Symmetric Strength: median raw world-record squat/deadlift ratio (About page); its intermediate standard 270/310 lb agrees</t>
  </si>
  <si>
    <t xml:space="preserve">front_squat</t>
  </si>
  <si>
    <t xml:space="preserve">Front squat</t>
  </si>
  <si>
    <t xml:space="preserve">Thibaudeau/Poliquin structural-balance ratios (thibarmy.com): 85% of back squat</t>
  </si>
  <si>
    <t xml:space="preserve">leg_press</t>
  </si>
  <si>
    <t xml:space="preserve">45-degree leg press</t>
  </si>
  <si>
    <t xml:space="preserve">USER ASSUMPTION: leg press (sled + plates) = 1.4 x (back squat + bodyweight). Not a ratio: bodyweight offset 1 (column at the right)</t>
  </si>
  <si>
    <t xml:space="preserve">Deadlift</t>
  </si>
  <si>
    <t xml:space="preserve">Reference lift</t>
  </si>
  <si>
    <t xml:space="preserve">sumo_deadlift</t>
  </si>
  <si>
    <t xml:space="preserve">Sumo deadlift</t>
  </si>
  <si>
    <t xml:space="preserve">ESTIMATE: taken equal to conventional (no published ratio found)</t>
  </si>
  <si>
    <t xml:space="preserve">power_clean</t>
  </si>
  <si>
    <t xml:space="preserve">Power clean</t>
  </si>
  <si>
    <t xml:space="preserve">Thibaudeau/Poliquin: 68% of back squat</t>
  </si>
  <si>
    <t xml:space="preserve">bench</t>
  </si>
  <si>
    <t xml:space="preserve">Bench press</t>
  </si>
  <si>
    <t xml:space="preserve">Symmetric Strength: median raw world-record bench/deadlift ratio; intermediate 200/310 lb agrees</t>
  </si>
  <si>
    <t xml:space="preserve">incline_bench</t>
  </si>
  <si>
    <t xml:space="preserve">Incline bench press</t>
  </si>
  <si>
    <t xml:space="preserve">Thibaudeau/Poliquin: 80% of bench press</t>
  </si>
  <si>
    <t xml:space="preserve">dip</t>
  </si>
  <si>
    <t xml:space="preserve">Dip</t>
  </si>
  <si>
    <t xml:space="preserve">Thibaudeau/Poliquin: 105% of bench, bodyweight included</t>
  </si>
  <si>
    <t xml:space="preserve">ohp</t>
  </si>
  <si>
    <t xml:space="preserve">Overhead press</t>
  </si>
  <si>
    <t xml:space="preserve">Symmetric Strength intermediate standard, 180 lb man: 130/310 lb (via SensAI, Sept 2026)</t>
  </si>
  <si>
    <t xml:space="preserve">push_press</t>
  </si>
  <si>
    <t xml:space="preserve">Push press</t>
  </si>
  <si>
    <t xml:space="preserve">Symmetric Strength intermediate standard, 180 lb man: 175/310 lb (via SensAI, Sept 2026)</t>
  </si>
  <si>
    <t xml:space="preserve">snatch_press</t>
  </si>
  <si>
    <t xml:space="preserve">Snatch press</t>
  </si>
  <si>
    <t xml:space="preserve">ESTIMATE: no published ratio found</t>
  </si>
  <si>
    <t xml:space="preserve">chin_up</t>
  </si>
  <si>
    <t xml:space="preserve">Chin-up</t>
  </si>
  <si>
    <t xml:space="preserve">Thibaudeau/Poliquin: 67.5% of back squat, bodyweight included</t>
  </si>
  <si>
    <t xml:space="preserve">pull_up</t>
  </si>
  <si>
    <t xml:space="preserve">Pull-up</t>
  </si>
  <si>
    <t xml:space="preserve">pendlay_row</t>
  </si>
  <si>
    <t xml:space="preserve">Pendlay row</t>
  </si>
  <si>
    <t xml:space="preserve">Symmetric Strength intermediate standard, 180 lb man: 165/310 lb (via SensAI, Sept 2026)</t>
  </si>
  <si>
    <t xml:space="preserve">lat_pulldown</t>
  </si>
  <si>
    <t xml:space="preserve">Lat pulldown</t>
  </si>
  <si>
    <t xml:space="preserve">USER ASSUMPTION: stack load equals chin-up total load. Pulley ratios vary by machine</t>
  </si>
  <si>
    <t xml:space="preserve">seated_cable_row</t>
  </si>
  <si>
    <t xml:space="preserve">Seated cable row</t>
  </si>
  <si>
    <t xml:space="preserve">USER ASSUMPTION: stack load equals Pendlay row load. Torso is supported, so likely generous</t>
  </si>
  <si>
    <t xml:space="preserve">Conversion: reference-lift load = 1RM / factor - bw offset x bodyweight; ratio to deadlift = factor x ratio of the reference (exact only when the offset is 0). For bodyweight lifts the 1RM is total load (bodyweight + added). Membership lists: Symmetric Strength About page (its two pec rows are identical and are merged); the two machine substitutes inherit their reference lift's groups.</t>
  </si>
  <si>
    <t xml:space="preserve">Female factors: squat 0.84 and bench 0.57 of deadlift (Symmetric Strength, medians of raw women's world records); overhead press 0.333, Pendlay row 0.467 (Strength Level female intermediate ratios); push press 0.448 and chin-up 0.592 = male value scaled like the overhead press / bench (ESTIMATES). Other lifts keep their within-pattern factors.</t>
  </si>
  <si>
    <t xml:space="preserve">FRIEND 2022 VO2peak percentiles (ml/kg/min). Kaminsky et al., Mayo Clin Proc 2022;97:285-293, Table 3 (RER &gt;= 1.0)</t>
  </si>
  <si>
    <t xml:space="preserve">sex|mode</t>
  </si>
  <si>
    <t xml:space="preserve">age from</t>
  </si>
  <si>
    <t xml:space="preserve">p10</t>
  </si>
  <si>
    <t xml:space="preserve">p20</t>
  </si>
  <si>
    <t xml:space="preserve">p30</t>
  </si>
  <si>
    <t xml:space="preserve">p40</t>
  </si>
  <si>
    <t xml:space="preserve">p50</t>
  </si>
  <si>
    <t xml:space="preserve">p60</t>
  </si>
  <si>
    <t xml:space="preserve">p70</t>
  </si>
  <si>
    <t xml:space="preserve">p80</t>
  </si>
  <si>
    <t xml:space="preserve">p90</t>
  </si>
  <si>
    <t xml:space="preserve">male|treadmill|20</t>
  </si>
  <si>
    <t xml:space="preserve">male|treadmill</t>
  </si>
  <si>
    <t xml:space="preserve">male|treadmill|30</t>
  </si>
  <si>
    <t xml:space="preserve">male|treadmill|40</t>
  </si>
  <si>
    <t xml:space="preserve">male|treadmill|50</t>
  </si>
  <si>
    <t xml:space="preserve">male|treadmill|60</t>
  </si>
  <si>
    <t xml:space="preserve">male|treadmill|70</t>
  </si>
  <si>
    <t xml:space="preserve">male|treadmill|80</t>
  </si>
  <si>
    <t xml:space="preserve">male|cycle|20</t>
  </si>
  <si>
    <t xml:space="preserve">male|cycle</t>
  </si>
  <si>
    <t xml:space="preserve">male|cycle|30</t>
  </si>
  <si>
    <t xml:space="preserve">male|cycle|40</t>
  </si>
  <si>
    <t xml:space="preserve">male|cycle|50</t>
  </si>
  <si>
    <t xml:space="preserve">male|cycle|60</t>
  </si>
  <si>
    <t xml:space="preserve">male|cycle|70</t>
  </si>
  <si>
    <t xml:space="preserve">male|cycle|80</t>
  </si>
  <si>
    <t xml:space="preserve">female|treadmill|20</t>
  </si>
  <si>
    <t xml:space="preserve">female|treadmill</t>
  </si>
  <si>
    <t xml:space="preserve">female|treadmill|30</t>
  </si>
  <si>
    <t xml:space="preserve">female|treadmill|40</t>
  </si>
  <si>
    <t xml:space="preserve">female|treadmill|50</t>
  </si>
  <si>
    <t xml:space="preserve">female|treadmill|60</t>
  </si>
  <si>
    <t xml:space="preserve">female|treadmill|70</t>
  </si>
  <si>
    <t xml:space="preserve">female|treadmill|80</t>
  </si>
  <si>
    <t xml:space="preserve">female|cycle|20</t>
  </si>
  <si>
    <t xml:space="preserve">female|cycle</t>
  </si>
  <si>
    <t xml:space="preserve">female|cycle|30</t>
  </si>
  <si>
    <t xml:space="preserve">female|cycle|40</t>
  </si>
  <si>
    <t xml:space="preserve">female|cycle|50</t>
  </si>
  <si>
    <t xml:space="preserve">female|cycle|60</t>
  </si>
  <si>
    <t xml:space="preserve">female|cycle|70</t>
  </si>
  <si>
    <t xml:space="preserve">female|cycle|80</t>
  </si>
  <si>
    <t xml:space="preserve">Percentile of an estimate = linear interpolation between deciles, extended linearly beyond the 10th and 90th and kept within 1-99. Field-test estimates carry roughly +/-5 ml/kg/min of error.</t>
  </si>
  <si>
    <t xml:space="preserve">Purposes each attribute serves (1 = serves it). Judgment; used only for the read-only purposes view on Summary</t>
  </si>
  <si>
    <t xml:space="preserve">health</t>
  </si>
  <si>
    <t xml:space="preserve">looks</t>
  </si>
  <si>
    <t xml:space="preserve">performance</t>
  </si>
  <si>
    <t xml:space="preserve">purposes served</t>
  </si>
  <si>
    <t xml:space="preserve">Health: leanness, cardiorespiratory fitness and strength each predict mortality independently (e.g. Kodama 2009; Leong 2015). Looks: leanness, muscle and its distribution. Performance: strength and fitness.</t>
  </si>
  <si>
    <t xml:space="preserve">Lever rates: rough weekly change a novice might manage (used only by the notebook's lever ranking)</t>
  </si>
  <si>
    <t xml:space="preserve">lever</t>
  </si>
  <si>
    <t xml:space="preserve">per week</t>
  </si>
  <si>
    <t xml:space="preserve">note</t>
  </si>
  <si>
    <t xml:space="preserve">fat_loss</t>
  </si>
  <si>
    <t xml:space="preserve">cm waist + kg</t>
  </si>
  <si>
    <t xml:space="preserve">Each unit = waist -1 cm with weight -1 kg. 0.5/week is about 0.5% of bodyweight</t>
  </si>
  <si>
    <t xml:space="preserve">lean_gain</t>
  </si>
  <si>
    <t xml:space="preserve">kg at same waist</t>
  </si>
  <si>
    <t xml:space="preserve">Bodyweight +1 kg at unchanged waist. Unlikely during a deficit</t>
  </si>
  <si>
    <t xml:space="preserve">lift</t>
  </si>
  <si>
    <t xml:space="preserve">% of 1RM</t>
  </si>
  <si>
    <t xml:space="preserve">Each scored lift entered, +1% of estimated 1RM. Novice linear progress</t>
  </si>
  <si>
    <t xml:space="preserve">Girth gains, novice, not in a deficit. Very rough</t>
  </si>
  <si>
    <t xml:space="preserve">Calves respond slowly</t>
  </si>
  <si>
    <t xml:space="preserve">Women's hip girth via glute work; very rough</t>
  </si>
  <si>
    <t xml:space="preserve">fitness</t>
  </si>
  <si>
    <t xml:space="preserve">ml/kg/min</t>
  </si>
  <si>
    <t xml:space="preserve">VO2max; untrained adults often gain 10-20% in 8-12 weeks of regular cardio</t>
  </si>
  <si>
    <t xml:space="preserve">Exercise library: type, scored lift (if any), muscle groups trained (1 = primary target)</t>
  </si>
  <si>
    <t xml:space="preserve">pattern</t>
  </si>
  <si>
    <t xml:space="preserve">primary group</t>
  </si>
  <si>
    <t xml:space="preserve">compound (major)</t>
  </si>
  <si>
    <t xml:space="preserve">Leg press</t>
  </si>
  <si>
    <t xml:space="preserve">Bulgarian split squat</t>
  </si>
  <si>
    <t xml:space="preserve">Romanian deadlift</t>
  </si>
  <si>
    <t xml:space="preserve">Hip thrust</t>
  </si>
  <si>
    <t xml:space="preserve">Dumbbell bench press</t>
  </si>
  <si>
    <t xml:space="preserve">Close-grip bench press</t>
  </si>
  <si>
    <t xml:space="preserve">Dumbbell shoulder press</t>
  </si>
  <si>
    <t xml:space="preserve">Farmer's carry</t>
  </si>
  <si>
    <t xml:space="preserve">Leg extension</t>
  </si>
  <si>
    <t xml:space="preserve">isolation (minor)</t>
  </si>
  <si>
    <t xml:space="preserve">Leg curl</t>
  </si>
  <si>
    <t xml:space="preserve">Adductor machine</t>
  </si>
  <si>
    <t xml:space="preserve">Standing calf raise</t>
  </si>
  <si>
    <t xml:space="preserve">Seated calf raise</t>
  </si>
  <si>
    <t xml:space="preserve">Back extension</t>
  </si>
  <si>
    <t xml:space="preserve">Hanging leg raise</t>
  </si>
  <si>
    <t xml:space="preserve">Cable crunch</t>
  </si>
  <si>
    <t xml:space="preserve">Lateral raise</t>
  </si>
  <si>
    <t xml:space="preserve">Rear-delt fly / face pull</t>
  </si>
  <si>
    <t xml:space="preserve">Cable or dumbbell fly</t>
  </si>
  <si>
    <t xml:space="preserve">Barbell curl</t>
  </si>
  <si>
    <t xml:space="preserve">Incline dumbbell curl</t>
  </si>
  <si>
    <t xml:space="preserve">Hammer curl</t>
  </si>
  <si>
    <t xml:space="preserve">Triceps pushdown</t>
  </si>
  <si>
    <t xml:space="preserve">Overhead triceps extension</t>
  </si>
  <si>
    <t xml:space="preserve">Skull crusher</t>
  </si>
  <si>
    <t xml:space="preserve">Wrist curl / reverse curl</t>
  </si>
  <si>
    <t xml:space="preserve">Shrug</t>
  </si>
  <si>
    <t xml:space="preserve">Compound (major) = multi-joint and heavily loaded, costly to recover from; isolation (minor) = single-joint. Pattern = the strength category a compound trains. Scored lifts move the strength score; the rest move girths. Add rows freely.</t>
  </si>
  <si>
    <t xml:space="preserve">Body assessment report</t>
  </si>
  <si>
    <t xml:space="preserve">Defaults to the latest dated column; overwrite with a date to analyse an earlier one.</t>
  </si>
  <si>
    <t xml:space="preserve">Date column found</t>
  </si>
  <si>
    <t xml:space="preserve">Measurements used</t>
  </si>
  <si>
    <t xml:space="preserve">cm, mean L/R</t>
  </si>
  <si>
    <t xml:space="preserve">Body composition</t>
  </si>
  <si>
    <t xml:space="preserve">quantity</t>
  </si>
  <si>
    <t xml:space="preserve">BMI (kg/m2)</t>
  </si>
  <si>
    <t xml:space="preserve">Blind to muscle; shown for reference only</t>
  </si>
  <si>
    <t xml:space="preserve">Waist-to-height ratio</t>
  </si>
  <si>
    <t xml:space="preserve">Body fat (US Navy tape method)</t>
  </si>
  <si>
    <t xml:space="preserve">Standard error about 3-4 percentage points</t>
  </si>
  <si>
    <t xml:space="preserve">Fat mass (kg)</t>
  </si>
  <si>
    <t xml:space="preserve">Lean mass (kg)</t>
  </si>
  <si>
    <t xml:space="preserve">FFMI (kg/m2)</t>
  </si>
  <si>
    <t xml:space="preserve">FFMI, height-normalised (men)</t>
  </si>
  <si>
    <t xml:space="preserve">Men: about 25 is the drug-free ceiling (Kouri 1995). Women: use raw FFMI; ceiling 23.9 (Harty 2019)</t>
  </si>
  <si>
    <t xml:space="preserve">Weight at target body fat, current lean mass (kg)</t>
  </si>
  <si>
    <t xml:space="preserve">Fat loss only, no muscle change</t>
  </si>
  <si>
    <t xml:space="preserve">Fat to lose to reach target (kg)</t>
  </si>
  <si>
    <t xml:space="preserve">Fitness: estimated VO2max from any test entered for this date</t>
  </si>
  <si>
    <t xml:space="preserve">test</t>
  </si>
  <si>
    <t xml:space="preserve">norms</t>
  </si>
  <si>
    <t xml:space="preserve">norm row (lookup)</t>
  </si>
  <si>
    <t xml:space="preserve">percentile (age, sex)</t>
  </si>
  <si>
    <t xml:space="preserve">Rockport 1-mile walk</t>
  </si>
  <si>
    <t xml:space="preserve">treadmill</t>
  </si>
  <si>
    <t xml:space="preserve">Cooper 12-minute run</t>
  </si>
  <si>
    <t xml:space="preserve">Timed run (VDOT)</t>
  </si>
  <si>
    <t xml:space="preserve">Cycle ramp test (ACSM)</t>
  </si>
  <si>
    <t xml:space="preserve">cycle</t>
  </si>
  <si>
    <t xml:space="preserve">Mean VO2max estimate</t>
  </si>
  <si>
    <t xml:space="preserve">Fitness percentile (mean of tests)</t>
  </si>
  <si>
    <t xml:space="preserve">Norms: FRIEND 2022 (US, directly measured). Swimming and elliptical results are not comparable and have no entry. No test entered = fitness left out of the composite.</t>
  </si>
  <si>
    <t xml:space="preserve">Proportion: shape against the ideal ratios (the waist is scored under leanness, not here)</t>
  </si>
  <si>
    <t xml:space="preserve">actual</t>
  </si>
  <si>
    <t xml:space="preserve">deviation</t>
  </si>
  <si>
    <t xml:space="preserve">log deviation</t>
  </si>
  <si>
    <t xml:space="preserve">numerator now (cm)</t>
  </si>
  <si>
    <t xml:space="preserve">numerator at ideal (cm)</t>
  </si>
  <si>
    <t xml:space="preserve">Overall distance from ideal (RMS of log deviations, as %)</t>
  </si>
  <si>
    <t xml:space="preserve">Typical proportional error per ratio, over or under</t>
  </si>
  <si>
    <t xml:space="preserve">Upper vs lower balance</t>
  </si>
  <si>
    <t xml:space="preserve">Positive: upper body ahead of legs, relative to each group's ideal. Men only: the female ideals have no limb ratios</t>
  </si>
  <si>
    <t xml:space="preserve">Note: numerator at ideal = size that would satisfy the ratio if the denominator stayed as it is. For bone-anchored ratios that is a real target; for waist/chest-type ratios either side may be the one to move.</t>
  </si>
  <si>
    <t xml:space="preserve">Symmetry: left vs right</t>
  </si>
  <si>
    <t xml:space="preserve">left (cm)</t>
  </si>
  <si>
    <t xml:space="preserve">right (cm)</t>
  </si>
  <si>
    <t xml:space="preserve">right - left</t>
  </si>
  <si>
    <t xml:space="preserve">asymmetry</t>
  </si>
  <si>
    <t xml:space="preserve">assessment</t>
  </si>
  <si>
    <t xml:space="preserve">Wrist</t>
  </si>
  <si>
    <t xml:space="preserve">Forearm</t>
  </si>
  <si>
    <t xml:space="preserve">Upper arm</t>
  </si>
  <si>
    <t xml:space="preserve">Thigh (for proportions)</t>
  </si>
  <si>
    <t xml:space="preserve">Thigh, relaxed (for Butt)</t>
  </si>
  <si>
    <t xml:space="preserve">Knee</t>
  </si>
  <si>
    <t xml:space="preserve">Calf (for proportions)</t>
  </si>
  <si>
    <t xml:space="preserve">Calf, relaxed (for Butt)</t>
  </si>
  <si>
    <t xml:space="preserve">Ankle</t>
  </si>
  <si>
    <t xml:space="preserve">Wrist, knee and ankle are bone: any difference there is mostly measurement error, which calibrates how far to trust the muscle rows.</t>
  </si>
  <si>
    <t xml:space="preserve">Natural potential: lean mass</t>
  </si>
  <si>
    <t xml:space="preserve">model</t>
  </si>
  <si>
    <t xml:space="preserve">max lean mass (kg)</t>
  </si>
  <si>
    <t xml:space="preserve">current lean (kg)</t>
  </si>
  <si>
    <t xml:space="preserve">attained</t>
  </si>
  <si>
    <t xml:space="preserve">remaining (kg)</t>
  </si>
  <si>
    <t xml:space="preserve">max weight at target BF (kg)</t>
  </si>
  <si>
    <t xml:space="preserve">Casey Butt (height, wrist, ankle; at target BF; men only)</t>
  </si>
  <si>
    <t xml:space="preserve">Berkhan (height only; men only)</t>
  </si>
  <si>
    <t xml:space="preserve">FFMI ceiling (men: Kouri 25; women: Harty 23.9)</t>
  </si>
  <si>
    <t xml:space="preserve">FFMI 19.2 (Symmetric Strength's female estimate; women only)</t>
  </si>
  <si>
    <t xml:space="preserve">Ceiling used for the size score</t>
  </si>
  <si>
    <t xml:space="preserve">The spread between models is the honest error bar. Current lean mass inherits the body-fat method's error.</t>
  </si>
  <si>
    <t xml:space="preserve">Natural potential: girths (Casey Butt)</t>
  </si>
  <si>
    <t xml:space="preserve">max girth (cm)</t>
  </si>
  <si>
    <t xml:space="preserve">current (cm)</t>
  </si>
  <si>
    <t xml:space="preserve">Butt's protocol</t>
  </si>
  <si>
    <t xml:space="preserve">Men only: no female equivalent exists. Butt's girths are for about 8-10% body fat; girths measured fatter overstate muscle. Readings taken with a different protocol (flexed vs relaxed) are not directly comparable.</t>
  </si>
  <si>
    <t xml:space="preserve">Strength assessment (Symmetric Strength method)</t>
  </si>
  <si>
    <t xml:space="preserve">Bodyweight (kg)</t>
  </si>
  <si>
    <t xml:space="preserve">Age coefficient</t>
  </si>
  <si>
    <t xml:space="preserve">Wilks coefficient</t>
  </si>
  <si>
    <t xml:space="preserve">Powerlifting total per kg of deadlift</t>
  </si>
  <si>
    <t xml:space="preserve">Score per kg of deadlift-equivalent</t>
  </si>
  <si>
    <t xml:space="preserve">A lift's score = 1/4 of the age-adjusted Wilks of the total you would have if every lift matched it</t>
  </si>
  <si>
    <t xml:space="preserve">load entered</t>
  </si>
  <si>
    <t xml:space="preserve">total load (kg)</t>
  </si>
  <si>
    <t xml:space="preserve">est. 1RM (kg)</t>
  </si>
  <si>
    <t xml:space="preserve">est. 1RM, added weight (bodyweight lifts)</t>
  </si>
  <si>
    <t xml:space="preserve">deadlift equiv. (kg)</t>
  </si>
  <si>
    <t xml:space="preserve">_score</t>
  </si>
  <si>
    <t xml:space="preserve">_entered</t>
  </si>
  <si>
    <t xml:space="preserve">_cat|score</t>
  </si>
  <si>
    <t xml:space="preserve">Load entered: total weight moved (bar + plates + collars) or stack load; for bodyweight lifts, added weight (negative if assisted). Sets are assumed taken to failure. Class: beyond +/- dev_tol of the overall score.</t>
  </si>
  <si>
    <t xml:space="preserve">Categories (best lift in each)</t>
  </si>
  <si>
    <t xml:space="preserve">best score</t>
  </si>
  <si>
    <t xml:space="preserve">Overall strength score (arithmetic, as Symmetric Strength)</t>
  </si>
  <si>
    <t xml:space="preserve">Overall tier</t>
  </si>
  <si>
    <t xml:space="preserve">Geometric-mean strength score (used in the composite)</t>
  </si>
  <si>
    <t xml:space="preserve">Symmetry (100 = perfectly even; = 100 x geometric / arithmetic)</t>
  </si>
  <si>
    <t xml:space="preserve">Categories scored</t>
  </si>
  <si>
    <t xml:space="preserve">Strongest lift</t>
  </si>
  <si>
    <t xml:space="preserve">Weakest lift</t>
  </si>
  <si>
    <t xml:space="preserve">Symmetry is this workbook's own definition; Symmetric Strength does not publish its formula.</t>
  </si>
  <si>
    <t xml:space="preserve">Estimated powerlifting total</t>
  </si>
  <si>
    <t xml:space="preserve">Squat (kg)</t>
  </si>
  <si>
    <t xml:space="preserve">Bench press (kg)</t>
  </si>
  <si>
    <t xml:space="preserve">Deadlift (kg)</t>
  </si>
  <si>
    <t xml:space="preserve">Total (kg)</t>
  </si>
  <si>
    <t xml:space="preserve">Wilks</t>
  </si>
  <si>
    <t xml:space="preserve">Wilks, age-adjusted</t>
  </si>
  <si>
    <t xml:space="preserve">Each figure is the best lift in its category converted to the competition lift, so a variant (e.g. front squat) counts.</t>
  </si>
  <si>
    <t xml:space="preserve">Muscle groups</t>
  </si>
  <si>
    <t xml:space="preserve">Score = average of the entered lifts that train the group. Class uses the lifts' own deviations from the overall score: strong = every contributing lift is above +dev_tol; weak = every one is below -dev_tol; in line = all within the band; mixed = the lifts disagree.</t>
  </si>
  <si>
    <t xml:space="preserve">lifts counted</t>
  </si>
  <si>
    <t xml:space="preserve">lowest lift</t>
  </si>
  <si>
    <t xml:space="preserve">highest lift</t>
  </si>
  <si>
    <t xml:space="preserve">Groups classed strong</t>
  </si>
  <si>
    <t xml:space="preserve">Groups classed weak</t>
  </si>
  <si>
    <t xml:space="preserve">Groups classed mixed</t>
  </si>
  <si>
    <t xml:space="preserve">Groups classed in line</t>
  </si>
  <si>
    <t xml:space="preserve">Muscle groups ranked, strongest first</t>
  </si>
  <si>
    <t xml:space="preserve">Five categories cannot resolve twenty groups: group scores re-weight the lift scores. 'Mixed' marks groups whose lifts disagree, where the group label says more about one lift than about the muscle.</t>
  </si>
  <si>
    <t xml:space="preserve">Estimated rep maxes (kg total; added weight for bodyweight lifts)</t>
  </si>
  <si>
    <t xml:space="preserve">The curve passes through your performed set (taken to failure). Wathan's formula puts the scoring 1RM about 1.3% above the curve's own 1-rep point; the scores use the formula as published, as Symmetric Strength does.</t>
  </si>
  <si>
    <t xml:space="preserve">1 RM</t>
  </si>
  <si>
    <t xml:space="preserve">2 RM</t>
  </si>
  <si>
    <t xml:space="preserve">3 RM</t>
  </si>
  <si>
    <t xml:space="preserve">4 RM</t>
  </si>
  <si>
    <t xml:space="preserve">5 RM</t>
  </si>
  <si>
    <t xml:space="preserve">6 RM</t>
  </si>
  <si>
    <t xml:space="preserve">7 RM</t>
  </si>
  <si>
    <t xml:space="preserve">8 RM</t>
  </si>
  <si>
    <t xml:space="preserve">9 RM</t>
  </si>
  <si>
    <t xml:space="preserve">10 RM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</si>
</sst>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yyyy\-mm\-dd"/>
    <numFmt numFmtId="166" formatCode="0.0"/>
    <numFmt numFmtId="167" formatCode="@"/>
    <numFmt numFmtId="168" formatCode="0.000"/>
    <numFmt numFmtId="169" formatCode="0%"/>
    <numFmt numFmtId="170" formatCode="0"/>
    <numFmt numFmtId="171" formatCode="0.0%"/>
    <numFmt numFmtId="172" formatCode="\+0%;\-0%;0%"/>
    <numFmt numFmtId="173" formatCode="\+0.0%;\-0.0%;0.0%"/>
    <numFmt numFmtId="174" formatCode="\+0.000;\-0.000;0.000"/>
    <numFmt numFmtId="175" formatCode="\+0.0;\-0.0;0.0"/>
    <numFmt numFmtId="176" formatCode="0.0000"/>
    <numFmt numFmtId="177" formatCode="0.0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D9D9D9"/>
      </patternFill>
    </fill>
    <fill>
      <patternFill patternType="solid">
        <fgColor rgb="FFFFFF99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9F9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Categories vs overall score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Strength!E32</c:f>
              <c:strCache>
                <c:ptCount val="1"/>
                <c:pt idx="0">
                  <c:v>vs overall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Strength!$A$33:$A$37</c:f>
              <c:strCache>
                <c:ptCount val="5"/>
                <c:pt idx="0">
                  <c:v>squat</c:v>
                </c:pt>
                <c:pt idx="1">
                  <c:v>floor pull</c:v>
                </c:pt>
                <c:pt idx="2">
                  <c:v>horizontal press</c:v>
                </c:pt>
                <c:pt idx="3">
                  <c:v>vertical press</c:v>
                </c:pt>
                <c:pt idx="4">
                  <c:v>pull</c:v>
                </c:pt>
              </c:strCache>
            </c:strRef>
          </c:cat>
          <c:val>
            <c:numRef>
              <c:f>Strength!$E$33:$E$37</c:f>
              <c:numCache>
                <c:formatCode>\+0%;\-0%;0%</c:formatCode>
                <c:ptCount val="5"/>
                <c:pt idx="0">
                  <c:v>-0.108952354427573</c:v>
                </c:pt>
                <c:pt idx="1">
                  <c:v>0.047872031193174</c:v>
                </c:pt>
                <c:pt idx="2">
                  <c:v>-0.146470150030622</c:v>
                </c:pt>
                <c:pt idx="3">
                  <c:v>0.123843877298557</c:v>
                </c:pt>
                <c:pt idx="4">
                  <c:v>0.0837065959664654</c:v>
                </c:pt>
              </c:numCache>
            </c:numRef>
          </c:val>
        </c:ser>
        <c:gapWidth val="150"/>
        <c:overlap val="0"/>
        <c:axId val="24141418"/>
        <c:axId val="38118953"/>
      </c:barChart>
      <c:catAx>
        <c:axId val="241414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118953"/>
        <c:crosses val="autoZero"/>
        <c:auto val="1"/>
        <c:lblAlgn val="ctr"/>
        <c:lblOffset val="100"/>
        <c:noMultiLvlLbl val="0"/>
      </c:catAx>
      <c:valAx>
        <c:axId val="381189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14141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Muscle groups vs overall score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Strength!D59</c:f>
              <c:strCache>
                <c:ptCount val="1"/>
                <c:pt idx="0">
                  <c:v>vs overall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Strength!$A$60:$A$79</c:f>
              <c:strCache>
                <c:ptCount val="20"/>
                <c:pt idx="0">
                  <c:v>Upper traps</c:v>
                </c:pt>
                <c:pt idx="1">
                  <c:v>Middle traps</c:v>
                </c:pt>
                <c:pt idx="2">
                  <c:v>Lower traps</c:v>
                </c:pt>
                <c:pt idx="3">
                  <c:v>Anterior delts</c:v>
                </c:pt>
                <c:pt idx="4">
                  <c:v>Lateral delts</c:v>
                </c:pt>
                <c:pt idx="5">
                  <c:v>Posterior delts</c:v>
                </c:pt>
                <c:pt idx="6">
                  <c:v>Pecs</c:v>
                </c:pt>
                <c:pt idx="7">
                  <c:v>Biceps</c:v>
                </c:pt>
                <c:pt idx="8">
                  <c:v>Triceps</c:v>
                </c:pt>
                <c:pt idx="9">
                  <c:v>Forearms</c:v>
                </c:pt>
                <c:pt idx="10">
                  <c:v>Obliques &amp; serratus</c:v>
                </c:pt>
                <c:pt idx="11">
                  <c:v>Abdominals</c:v>
                </c:pt>
                <c:pt idx="12">
                  <c:v>Lats</c:v>
                </c:pt>
                <c:pt idx="13">
                  <c:v>Spinal erectors</c:v>
                </c:pt>
                <c:pt idx="14">
                  <c:v>Glutes</c:v>
                </c:pt>
                <c:pt idx="15">
                  <c:v>Hamstrings</c:v>
                </c:pt>
                <c:pt idx="16">
                  <c:v>Quads</c:v>
                </c:pt>
                <c:pt idx="17">
                  <c:v>Hip flexors</c:v>
                </c:pt>
                <c:pt idx="18">
                  <c:v>Hip adductors</c:v>
                </c:pt>
                <c:pt idx="19">
                  <c:v>Calves</c:v>
                </c:pt>
              </c:strCache>
            </c:strRef>
          </c:cat>
          <c:val>
            <c:numRef>
              <c:f>Strength!$D$60:$D$79</c:f>
              <c:numCache>
                <c:formatCode>\+0%;\-0%;0%</c:formatCode>
                <c:ptCount val="20"/>
                <c:pt idx="0">
                  <c:v>0.047872031193174</c:v>
                </c:pt>
                <c:pt idx="1">
                  <c:v>0.047872031193174</c:v>
                </c:pt>
                <c:pt idx="3">
                  <c:v>-0.0113131363660329</c:v>
                </c:pt>
                <c:pt idx="4">
                  <c:v>0.123843877298557</c:v>
                </c:pt>
                <c:pt idx="5">
                  <c:v>0.0837065959664654</c:v>
                </c:pt>
                <c:pt idx="6">
                  <c:v>-0.146470150030622</c:v>
                </c:pt>
                <c:pt idx="7">
                  <c:v>0.0837065959664654</c:v>
                </c:pt>
                <c:pt idx="8">
                  <c:v>-0.0113131363660329</c:v>
                </c:pt>
                <c:pt idx="9">
                  <c:v>0.047872031193174</c:v>
                </c:pt>
                <c:pt idx="10">
                  <c:v>0.0657893135798195</c:v>
                </c:pt>
                <c:pt idx="11">
                  <c:v>0.00754209091068869</c:v>
                </c:pt>
                <c:pt idx="12">
                  <c:v>0.0837065959664654</c:v>
                </c:pt>
                <c:pt idx="13">
                  <c:v>-0.0305401616171996</c:v>
                </c:pt>
                <c:pt idx="14">
                  <c:v>-0.101486716704991</c:v>
                </c:pt>
                <c:pt idx="15">
                  <c:v>-0.0305401616171996</c:v>
                </c:pt>
                <c:pt idx="16">
                  <c:v>-0.101486716704991</c:v>
                </c:pt>
                <c:pt idx="17">
                  <c:v>-0.108952354427573</c:v>
                </c:pt>
                <c:pt idx="18">
                  <c:v>-0.176166090654074</c:v>
                </c:pt>
              </c:numCache>
            </c:numRef>
          </c:val>
        </c:ser>
        <c:gapWidth val="150"/>
        <c:overlap val="0"/>
        <c:axId val="75403469"/>
        <c:axId val="7755775"/>
      </c:barChart>
      <c:catAx>
        <c:axId val="754034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55775"/>
        <c:crosses val="autoZero"/>
        <c:auto val="1"/>
        <c:lblAlgn val="ctr"/>
        <c:lblOffset val="100"/>
        <c:noMultiLvlLbl val="0"/>
      </c:catAx>
      <c:valAx>
        <c:axId val="77557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40346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23</xdr:col>
      <xdr:colOff>0</xdr:colOff>
      <xdr:row>8</xdr:row>
      <xdr:rowOff>176040</xdr:rowOff>
    </xdr:from>
    <xdr:to>
      <xdr:col>31</xdr:col>
      <xdr:colOff>147600</xdr:colOff>
      <xdr:row>22</xdr:row>
      <xdr:rowOff>14040</xdr:rowOff>
    </xdr:to>
    <xdr:graphicFrame>
      <xdr:nvGraphicFramePr>
        <xdr:cNvPr id="0" name="Chart 1"/>
        <xdr:cNvGraphicFramePr/>
      </xdr:nvGraphicFramePr>
      <xdr:xfrm>
        <a:off x="17339400" y="171468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23</xdr:col>
      <xdr:colOff>0</xdr:colOff>
      <xdr:row>25</xdr:row>
      <xdr:rowOff>161280</xdr:rowOff>
    </xdr:from>
    <xdr:to>
      <xdr:col>31</xdr:col>
      <xdr:colOff>147600</xdr:colOff>
      <xdr:row>48</xdr:row>
      <xdr:rowOff>70200</xdr:rowOff>
    </xdr:to>
    <xdr:graphicFrame>
      <xdr:nvGraphicFramePr>
        <xdr:cNvPr id="1" name="Chart 2"/>
        <xdr:cNvGraphicFramePr/>
      </xdr:nvGraphicFramePr>
      <xdr:xfrm>
        <a:off x="17339400" y="4952880"/>
        <a:ext cx="50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39.55" hidden="false" customHeight="false" outlineLevel="0" collapsed="false">
      <c r="A4" s="3" t="s">
        <v>3</v>
      </c>
    </row>
    <row r="5" customFormat="false" ht="15" hidden="false" customHeight="false" outlineLevel="0" collapsed="false">
      <c r="A5" s="3" t="s">
        <v>4</v>
      </c>
    </row>
    <row r="6" customFormat="false" ht="26.85" hidden="false" customHeight="false" outlineLevel="0" collapsed="false">
      <c r="A6" s="3" t="s">
        <v>5</v>
      </c>
    </row>
    <row r="7" customFormat="false" ht="15" hidden="false" customHeight="false" outlineLevel="0" collapsed="false">
      <c r="A7" s="2" t="s">
        <v>6</v>
      </c>
    </row>
    <row r="8" customFormat="false" ht="26.85" hidden="false" customHeight="false" outlineLevel="0" collapsed="false">
      <c r="A8" s="3" t="s">
        <v>7</v>
      </c>
    </row>
    <row r="9" customFormat="false" ht="15" hidden="false" customHeight="false" outlineLevel="0" collapsed="false">
      <c r="A9" s="2" t="s">
        <v>8</v>
      </c>
    </row>
    <row r="10" customFormat="false" ht="26.85" hidden="false" customHeight="false" outlineLevel="0" collapsed="false">
      <c r="A10" s="3" t="s">
        <v>9</v>
      </c>
    </row>
    <row r="11" customFormat="false" ht="26.85" hidden="false" customHeight="false" outlineLevel="0" collapsed="false">
      <c r="A11" s="3" t="s">
        <v>10</v>
      </c>
    </row>
    <row r="12" customFormat="false" ht="39.55" hidden="false" customHeight="false" outlineLevel="0" collapsed="false">
      <c r="A12" s="3" t="s">
        <v>11</v>
      </c>
    </row>
    <row r="13" customFormat="false" ht="15" hidden="false" customHeight="false" outlineLevel="0" collapsed="false">
      <c r="A13" s="2" t="s">
        <v>12</v>
      </c>
    </row>
    <row r="14" customFormat="false" ht="39.55" hidden="false" customHeight="false" outlineLevel="0" collapsed="false">
      <c r="A14" s="3" t="s">
        <v>13</v>
      </c>
    </row>
    <row r="15" customFormat="false" ht="15" hidden="false" customHeight="false" outlineLevel="0" collapsed="false">
      <c r="A15" s="2" t="s">
        <v>14</v>
      </c>
    </row>
    <row r="16" customFormat="false" ht="39.55" hidden="false" customHeight="false" outlineLevel="0" collapsed="false">
      <c r="A16" s="3" t="s">
        <v>15</v>
      </c>
    </row>
    <row r="17" customFormat="false" ht="15" hidden="false" customHeight="false" outlineLevel="0" collapsed="false">
      <c r="A17" s="2" t="s">
        <v>16</v>
      </c>
    </row>
    <row r="18" customFormat="false" ht="39.55" hidden="false" customHeight="false" outlineLevel="0" collapsed="false">
      <c r="A18" s="3" t="s">
        <v>17</v>
      </c>
    </row>
    <row r="19" customFormat="false" ht="15" hidden="false" customHeight="false" outlineLevel="0" collapsed="false">
      <c r="A19" s="2" t="s">
        <v>18</v>
      </c>
    </row>
    <row r="20" customFormat="false" ht="39.55" hidden="false" customHeight="false" outlineLevel="0" collapsed="false">
      <c r="A20" s="3" t="s">
        <v>19</v>
      </c>
    </row>
    <row r="21" customFormat="false" ht="15" hidden="false" customHeight="false" outlineLevel="0" collapsed="false">
      <c r="A21" s="2" t="s">
        <v>20</v>
      </c>
    </row>
    <row r="22" customFormat="false" ht="39.55" hidden="false" customHeight="false" outlineLevel="0" collapsed="false">
      <c r="A22" s="3" t="s">
        <v>21</v>
      </c>
    </row>
    <row r="23" customFormat="false" ht="39.55" hidden="false" customHeight="false" outlineLevel="0" collapsed="false">
      <c r="A23" s="3" t="s">
        <v>22</v>
      </c>
    </row>
    <row r="24" customFormat="false" ht="26.85" hidden="false" customHeight="false" outlineLevel="0" collapsed="false">
      <c r="A24" s="3" t="s">
        <v>23</v>
      </c>
    </row>
    <row r="25" customFormat="false" ht="39.55" hidden="false" customHeight="false" outlineLevel="0" collapsed="false">
      <c r="A25" s="3" t="s">
        <v>24</v>
      </c>
    </row>
    <row r="26" customFormat="false" ht="26.85" hidden="false" customHeight="false" outlineLevel="0" collapsed="false">
      <c r="A26" s="3" t="s">
        <v>25</v>
      </c>
    </row>
    <row r="27" customFormat="false" ht="15" hidden="false" customHeight="false" outlineLevel="0" collapsed="false">
      <c r="A27" s="3" t="s">
        <v>26</v>
      </c>
    </row>
    <row r="28" customFormat="false" ht="15" hidden="false" customHeight="false" outlineLevel="0" collapsed="false">
      <c r="A28" s="3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0"/>
    <col collapsed="false" customWidth="true" hidden="false" outlineLevel="0" max="3" min="3" style="0" width="6"/>
    <col collapsed="false" customWidth="true" hidden="false" outlineLevel="0" max="4" min="4" style="0" width="60"/>
    <col collapsed="false" customWidth="true" hidden="false" outlineLevel="0" max="34" min="5" style="0" width="12"/>
  </cols>
  <sheetData>
    <row r="1" customFormat="false" ht="15" hidden="false" customHeight="false" outlineLevel="0" collapsed="false">
      <c r="A1" s="4" t="s">
        <v>28</v>
      </c>
      <c r="B1" s="4" t="s">
        <v>29</v>
      </c>
      <c r="C1" s="4" t="s">
        <v>30</v>
      </c>
      <c r="D1" s="4" t="s">
        <v>31</v>
      </c>
      <c r="E1" s="5" t="n">
        <v>46266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 customFormat="false" ht="15" hidden="false" customHeight="false" outlineLevel="0" collapsed="false">
      <c r="A2" s="6" t="s">
        <v>32</v>
      </c>
      <c r="B2" s="6" t="s">
        <v>33</v>
      </c>
      <c r="C2" s="6" t="s">
        <v>34</v>
      </c>
      <c r="D2" s="7" t="s">
        <v>35</v>
      </c>
      <c r="E2" s="8" t="n">
        <v>164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  <row r="3" customFormat="false" ht="15" hidden="false" customHeight="false" outlineLevel="0" collapsed="false">
      <c r="A3" s="6" t="s">
        <v>36</v>
      </c>
      <c r="B3" s="6" t="s">
        <v>37</v>
      </c>
      <c r="C3" s="6" t="s">
        <v>38</v>
      </c>
      <c r="D3" s="7" t="s">
        <v>39</v>
      </c>
      <c r="E3" s="8" t="n">
        <v>66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 customFormat="false" ht="15" hidden="false" customHeight="false" outlineLevel="0" collapsed="false">
      <c r="A4" s="6" t="s">
        <v>40</v>
      </c>
      <c r="B4" s="6" t="s">
        <v>41</v>
      </c>
      <c r="C4" s="6" t="s">
        <v>42</v>
      </c>
      <c r="D4" s="7" t="s">
        <v>43</v>
      </c>
      <c r="E4" s="8" t="n">
        <v>38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</row>
    <row r="5" customFormat="false" ht="15" hidden="false" customHeight="false" outlineLevel="0" collapsed="false">
      <c r="A5" s="6" t="s">
        <v>44</v>
      </c>
      <c r="B5" s="6" t="s">
        <v>45</v>
      </c>
      <c r="C5" s="6" t="s">
        <v>46</v>
      </c>
      <c r="D5" s="7" t="s">
        <v>47</v>
      </c>
      <c r="E5" s="9" t="s">
        <v>48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</row>
    <row r="6" customFormat="false" ht="15" hidden="false" customHeight="false" outlineLevel="0" collapsed="false">
      <c r="A6" s="6" t="s">
        <v>49</v>
      </c>
      <c r="B6" s="6" t="s">
        <v>50</v>
      </c>
      <c r="C6" s="6" t="s">
        <v>34</v>
      </c>
      <c r="D6" s="7" t="s">
        <v>51</v>
      </c>
      <c r="E6" s="8" t="n">
        <v>32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</row>
    <row r="7" customFormat="false" ht="15" hidden="false" customHeight="false" outlineLevel="0" collapsed="false">
      <c r="A7" s="6" t="s">
        <v>52</v>
      </c>
      <c r="B7" s="6" t="s">
        <v>53</v>
      </c>
      <c r="C7" s="6" t="s">
        <v>34</v>
      </c>
      <c r="D7" s="7" t="s">
        <v>54</v>
      </c>
      <c r="E7" s="8" t="n">
        <v>102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</row>
    <row r="8" customFormat="false" ht="15" hidden="false" customHeight="false" outlineLevel="0" collapsed="false">
      <c r="A8" s="6" t="s">
        <v>55</v>
      </c>
      <c r="B8" s="6" t="s">
        <v>56</v>
      </c>
      <c r="C8" s="6" t="s">
        <v>34</v>
      </c>
      <c r="D8" s="7" t="s">
        <v>57</v>
      </c>
      <c r="E8" s="8" t="n">
        <v>92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</row>
    <row r="9" customFormat="false" ht="15" hidden="false" customHeight="false" outlineLevel="0" collapsed="false">
      <c r="A9" s="6" t="s">
        <v>58</v>
      </c>
      <c r="B9" s="6" t="s">
        <v>59</v>
      </c>
      <c r="C9" s="6" t="s">
        <v>34</v>
      </c>
      <c r="D9" s="7" t="s">
        <v>60</v>
      </c>
      <c r="E9" s="8" t="n">
        <v>90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</row>
    <row r="10" customFormat="false" ht="15" hidden="false" customHeight="false" outlineLevel="0" collapsed="false">
      <c r="A10" s="6" t="s">
        <v>61</v>
      </c>
      <c r="B10" s="6" t="s">
        <v>62</v>
      </c>
      <c r="C10" s="6" t="s">
        <v>34</v>
      </c>
      <c r="D10" s="7" t="s">
        <v>63</v>
      </c>
      <c r="E10" s="8" t="n">
        <v>76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</row>
    <row r="11" customFormat="false" ht="15" hidden="false" customHeight="false" outlineLevel="0" collapsed="false">
      <c r="A11" s="6" t="s">
        <v>64</v>
      </c>
      <c r="B11" s="6" t="s">
        <v>65</v>
      </c>
      <c r="C11" s="6" t="s">
        <v>34</v>
      </c>
      <c r="D11" s="7" t="s">
        <v>66</v>
      </c>
      <c r="E11" s="8" t="n">
        <v>100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 customFormat="false" ht="15" hidden="false" customHeight="false" outlineLevel="0" collapsed="false">
      <c r="A12" s="6" t="s">
        <v>67</v>
      </c>
      <c r="B12" s="6" t="s">
        <v>68</v>
      </c>
      <c r="C12" s="6" t="s">
        <v>34</v>
      </c>
      <c r="D12" s="7" t="s">
        <v>69</v>
      </c>
      <c r="E12" s="8" t="n">
        <v>15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</row>
    <row r="13" customFormat="false" ht="15" hidden="false" customHeight="false" outlineLevel="0" collapsed="false">
      <c r="A13" s="6" t="s">
        <v>70</v>
      </c>
      <c r="B13" s="6" t="s">
        <v>71</v>
      </c>
      <c r="C13" s="6" t="s">
        <v>34</v>
      </c>
      <c r="D13" s="7" t="s">
        <v>69</v>
      </c>
      <c r="E13" s="8" t="n">
        <v>15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 customFormat="false" ht="15" hidden="false" customHeight="false" outlineLevel="0" collapsed="false">
      <c r="A14" s="6" t="s">
        <v>72</v>
      </c>
      <c r="B14" s="6" t="s">
        <v>73</v>
      </c>
      <c r="C14" s="6" t="s">
        <v>34</v>
      </c>
      <c r="D14" s="7" t="s">
        <v>74</v>
      </c>
      <c r="E14" s="8" t="n">
        <v>23.5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</row>
    <row r="15" customFormat="false" ht="15" hidden="false" customHeight="false" outlineLevel="0" collapsed="false">
      <c r="A15" s="6" t="s">
        <v>75</v>
      </c>
      <c r="B15" s="6" t="s">
        <v>76</v>
      </c>
      <c r="C15" s="6" t="s">
        <v>34</v>
      </c>
      <c r="D15" s="7" t="s">
        <v>74</v>
      </c>
      <c r="E15" s="8" t="n">
        <v>24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</row>
    <row r="16" customFormat="false" ht="15" hidden="false" customHeight="false" outlineLevel="0" collapsed="false">
      <c r="A16" s="6" t="s">
        <v>77</v>
      </c>
      <c r="B16" s="6" t="s">
        <v>78</v>
      </c>
      <c r="C16" s="6" t="s">
        <v>34</v>
      </c>
      <c r="D16" s="7" t="s">
        <v>79</v>
      </c>
      <c r="E16" s="8" t="n">
        <v>28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</row>
    <row r="17" customFormat="false" ht="15" hidden="false" customHeight="false" outlineLevel="0" collapsed="false">
      <c r="A17" s="6" t="s">
        <v>80</v>
      </c>
      <c r="B17" s="6" t="s">
        <v>81</v>
      </c>
      <c r="C17" s="6" t="s">
        <v>34</v>
      </c>
      <c r="D17" s="7" t="s">
        <v>79</v>
      </c>
      <c r="E17" s="8" t="n">
        <v>28.5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</row>
    <row r="18" customFormat="false" ht="15" hidden="false" customHeight="false" outlineLevel="0" collapsed="false">
      <c r="A18" s="6" t="s">
        <v>82</v>
      </c>
      <c r="B18" s="6" t="s">
        <v>83</v>
      </c>
      <c r="C18" s="6" t="s">
        <v>34</v>
      </c>
      <c r="D18" s="7" t="s">
        <v>84</v>
      </c>
      <c r="E18" s="8" t="n">
        <v>56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</row>
    <row r="19" customFormat="false" ht="15" hidden="false" customHeight="false" outlineLevel="0" collapsed="false">
      <c r="A19" s="6" t="s">
        <v>85</v>
      </c>
      <c r="B19" s="6" t="s">
        <v>86</v>
      </c>
      <c r="C19" s="6" t="s">
        <v>34</v>
      </c>
      <c r="D19" s="7" t="s">
        <v>84</v>
      </c>
      <c r="E19" s="8" t="n">
        <v>56.5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</row>
    <row r="20" customFormat="false" ht="15" hidden="false" customHeight="false" outlineLevel="0" collapsed="false">
      <c r="A20" s="6" t="s">
        <v>87</v>
      </c>
      <c r="B20" s="6" t="s">
        <v>88</v>
      </c>
      <c r="C20" s="6" t="s">
        <v>34</v>
      </c>
      <c r="D20" s="7" t="s">
        <v>89</v>
      </c>
      <c r="E20" s="8" t="n">
        <v>54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</row>
    <row r="21" customFormat="false" ht="15" hidden="false" customHeight="false" outlineLevel="0" collapsed="false">
      <c r="A21" s="6" t="s">
        <v>90</v>
      </c>
      <c r="B21" s="6" t="s">
        <v>91</v>
      </c>
      <c r="C21" s="6" t="s">
        <v>34</v>
      </c>
      <c r="D21" s="7" t="s">
        <v>89</v>
      </c>
      <c r="E21" s="8" t="n">
        <v>54.5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</row>
    <row r="22" customFormat="false" ht="15" hidden="false" customHeight="false" outlineLevel="0" collapsed="false">
      <c r="A22" s="6" t="s">
        <v>92</v>
      </c>
      <c r="B22" s="6" t="s">
        <v>93</v>
      </c>
      <c r="C22" s="6" t="s">
        <v>34</v>
      </c>
      <c r="D22" s="7" t="s">
        <v>94</v>
      </c>
      <c r="E22" s="8" t="n">
        <v>36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customFormat="false" ht="15" hidden="false" customHeight="false" outlineLevel="0" collapsed="false">
      <c r="A23" s="6" t="s">
        <v>95</v>
      </c>
      <c r="B23" s="6" t="s">
        <v>96</v>
      </c>
      <c r="C23" s="6" t="s">
        <v>34</v>
      </c>
      <c r="D23" s="7" t="s">
        <v>94</v>
      </c>
      <c r="E23" s="8" t="n">
        <v>36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customFormat="false" ht="15" hidden="false" customHeight="false" outlineLevel="0" collapsed="false">
      <c r="A24" s="6" t="s">
        <v>97</v>
      </c>
      <c r="B24" s="6" t="s">
        <v>98</v>
      </c>
      <c r="C24" s="6" t="s">
        <v>34</v>
      </c>
      <c r="D24" s="7" t="s">
        <v>99</v>
      </c>
      <c r="E24" s="8" t="n">
        <v>36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customFormat="false" ht="15" hidden="false" customHeight="false" outlineLevel="0" collapsed="false">
      <c r="A25" s="6" t="s">
        <v>100</v>
      </c>
      <c r="B25" s="6" t="s">
        <v>101</v>
      </c>
      <c r="C25" s="6" t="s">
        <v>34</v>
      </c>
      <c r="D25" s="7" t="s">
        <v>99</v>
      </c>
      <c r="E25" s="8" t="n">
        <v>36.5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customFormat="false" ht="15" hidden="false" customHeight="false" outlineLevel="0" collapsed="false">
      <c r="A26" s="6" t="s">
        <v>102</v>
      </c>
      <c r="B26" s="6" t="s">
        <v>103</v>
      </c>
      <c r="C26" s="6" t="s">
        <v>34</v>
      </c>
      <c r="D26" s="7" t="s">
        <v>104</v>
      </c>
      <c r="E26" s="8" t="n">
        <v>35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 customFormat="false" ht="15" hidden="false" customHeight="false" outlineLevel="0" collapsed="false">
      <c r="A27" s="6" t="s">
        <v>105</v>
      </c>
      <c r="B27" s="6" t="s">
        <v>106</v>
      </c>
      <c r="C27" s="6" t="s">
        <v>34</v>
      </c>
      <c r="D27" s="7" t="s">
        <v>104</v>
      </c>
      <c r="E27" s="8" t="n">
        <v>35.5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 customFormat="false" ht="15" hidden="false" customHeight="false" outlineLevel="0" collapsed="false">
      <c r="A28" s="6" t="s">
        <v>107</v>
      </c>
      <c r="B28" s="6" t="s">
        <v>108</v>
      </c>
      <c r="C28" s="6" t="s">
        <v>34</v>
      </c>
      <c r="D28" s="7" t="s">
        <v>109</v>
      </c>
      <c r="E28" s="8" t="n">
        <v>21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  <row r="29" customFormat="false" ht="15" hidden="false" customHeight="false" outlineLevel="0" collapsed="false">
      <c r="A29" s="6" t="s">
        <v>110</v>
      </c>
      <c r="B29" s="6" t="s">
        <v>111</v>
      </c>
      <c r="C29" s="6" t="s">
        <v>34</v>
      </c>
      <c r="D29" s="7" t="s">
        <v>109</v>
      </c>
      <c r="E29" s="8" t="n">
        <v>21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</row>
    <row r="30" customFormat="false" ht="15" hidden="false" customHeight="false" outlineLevel="0" collapsed="false">
      <c r="A30" s="6" t="s">
        <v>112</v>
      </c>
      <c r="B30" s="6" t="s">
        <v>113</v>
      </c>
      <c r="C30" s="6" t="s">
        <v>38</v>
      </c>
      <c r="D30" s="7" t="s">
        <v>114</v>
      </c>
      <c r="E30" s="8" t="n">
        <v>50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</row>
    <row r="31" customFormat="false" ht="15" hidden="false" customHeight="false" outlineLevel="0" collapsed="false">
      <c r="A31" s="6" t="s">
        <v>115</v>
      </c>
      <c r="B31" s="6" t="s">
        <v>116</v>
      </c>
      <c r="C31" s="6" t="s">
        <v>117</v>
      </c>
      <c r="D31" s="7" t="s">
        <v>118</v>
      </c>
      <c r="E31" s="8" t="n">
        <v>5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</row>
    <row r="32" customFormat="false" ht="15" hidden="false" customHeight="false" outlineLevel="0" collapsed="false">
      <c r="A32" s="6" t="s">
        <v>119</v>
      </c>
      <c r="B32" s="6" t="s">
        <v>120</v>
      </c>
      <c r="C32" s="6" t="s">
        <v>38</v>
      </c>
      <c r="D32" s="7" t="s">
        <v>114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</row>
    <row r="33" customFormat="false" ht="15" hidden="false" customHeight="false" outlineLevel="0" collapsed="false">
      <c r="A33" s="6" t="s">
        <v>121</v>
      </c>
      <c r="B33" s="6" t="s">
        <v>122</v>
      </c>
      <c r="C33" s="6" t="s">
        <v>117</v>
      </c>
      <c r="D33" s="7" t="s">
        <v>118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</row>
    <row r="34" customFormat="false" ht="15" hidden="false" customHeight="false" outlineLevel="0" collapsed="false">
      <c r="A34" s="6" t="s">
        <v>123</v>
      </c>
      <c r="B34" s="6" t="s">
        <v>124</v>
      </c>
      <c r="C34" s="6" t="s">
        <v>38</v>
      </c>
      <c r="D34" s="7" t="s">
        <v>125</v>
      </c>
      <c r="E34" s="8" t="n">
        <v>120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</row>
    <row r="35" customFormat="false" ht="15" hidden="false" customHeight="false" outlineLevel="0" collapsed="false">
      <c r="A35" s="6" t="s">
        <v>126</v>
      </c>
      <c r="B35" s="6" t="s">
        <v>127</v>
      </c>
      <c r="C35" s="6" t="s">
        <v>117</v>
      </c>
      <c r="D35" s="7" t="s">
        <v>118</v>
      </c>
      <c r="E35" s="8" t="n">
        <v>10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</row>
    <row r="36" customFormat="false" ht="15" hidden="false" customHeight="false" outlineLevel="0" collapsed="false">
      <c r="A36" s="6" t="s">
        <v>128</v>
      </c>
      <c r="B36" s="6" t="s">
        <v>129</v>
      </c>
      <c r="C36" s="6" t="s">
        <v>38</v>
      </c>
      <c r="D36" s="7" t="s">
        <v>130</v>
      </c>
      <c r="E36" s="8" t="n">
        <v>70</v>
      </c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</row>
    <row r="37" customFormat="false" ht="15" hidden="false" customHeight="false" outlineLevel="0" collapsed="false">
      <c r="A37" s="6" t="s">
        <v>131</v>
      </c>
      <c r="B37" s="6" t="s">
        <v>132</v>
      </c>
      <c r="C37" s="6" t="s">
        <v>117</v>
      </c>
      <c r="D37" s="7" t="s">
        <v>118</v>
      </c>
      <c r="E37" s="8" t="n">
        <v>5</v>
      </c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</row>
    <row r="38" customFormat="false" ht="15" hidden="false" customHeight="false" outlineLevel="0" collapsed="false">
      <c r="A38" s="6" t="s">
        <v>133</v>
      </c>
      <c r="B38" s="6" t="s">
        <v>134</v>
      </c>
      <c r="C38" s="6" t="s">
        <v>38</v>
      </c>
      <c r="D38" s="7" t="s">
        <v>135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</row>
    <row r="39" customFormat="false" ht="15" hidden="false" customHeight="false" outlineLevel="0" collapsed="false">
      <c r="A39" s="6" t="s">
        <v>136</v>
      </c>
      <c r="B39" s="6" t="s">
        <v>137</v>
      </c>
      <c r="C39" s="6" t="s">
        <v>117</v>
      </c>
      <c r="D39" s="7" t="s">
        <v>118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</row>
    <row r="40" customFormat="false" ht="15" hidden="false" customHeight="false" outlineLevel="0" collapsed="false">
      <c r="A40" s="6" t="s">
        <v>138</v>
      </c>
      <c r="B40" s="6" t="s">
        <v>139</v>
      </c>
      <c r="C40" s="6" t="s">
        <v>38</v>
      </c>
      <c r="D40" s="7" t="s">
        <v>140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</row>
    <row r="41" customFormat="false" ht="15" hidden="false" customHeight="false" outlineLevel="0" collapsed="false">
      <c r="A41" s="6" t="s">
        <v>141</v>
      </c>
      <c r="B41" s="6" t="s">
        <v>142</v>
      </c>
      <c r="C41" s="6" t="s">
        <v>117</v>
      </c>
      <c r="D41" s="7" t="s">
        <v>118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</row>
    <row r="42" customFormat="false" ht="15" hidden="false" customHeight="false" outlineLevel="0" collapsed="false">
      <c r="A42" s="6" t="s">
        <v>143</v>
      </c>
      <c r="B42" s="6" t="s">
        <v>144</v>
      </c>
      <c r="C42" s="6" t="s">
        <v>38</v>
      </c>
      <c r="D42" s="7" t="s">
        <v>145</v>
      </c>
      <c r="E42" s="8" t="n">
        <v>32.5</v>
      </c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</row>
    <row r="43" customFormat="false" ht="15" hidden="false" customHeight="false" outlineLevel="0" collapsed="false">
      <c r="A43" s="6" t="s">
        <v>146</v>
      </c>
      <c r="B43" s="6" t="s">
        <v>147</v>
      </c>
      <c r="C43" s="6" t="s">
        <v>117</v>
      </c>
      <c r="D43" s="7" t="s">
        <v>118</v>
      </c>
      <c r="E43" s="8" t="n">
        <v>5</v>
      </c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</row>
    <row r="44" customFormat="false" ht="15" hidden="false" customHeight="false" outlineLevel="0" collapsed="false">
      <c r="A44" s="6" t="s">
        <v>148</v>
      </c>
      <c r="B44" s="6" t="s">
        <v>149</v>
      </c>
      <c r="C44" s="6" t="s">
        <v>38</v>
      </c>
      <c r="D44" s="7" t="s">
        <v>150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</row>
    <row r="45" customFormat="false" ht="15" hidden="false" customHeight="false" outlineLevel="0" collapsed="false">
      <c r="A45" s="6" t="s">
        <v>151</v>
      </c>
      <c r="B45" s="6" t="s">
        <v>152</v>
      </c>
      <c r="C45" s="6" t="s">
        <v>117</v>
      </c>
      <c r="D45" s="7" t="s">
        <v>118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</row>
    <row r="46" customFormat="false" ht="15" hidden="false" customHeight="false" outlineLevel="0" collapsed="false">
      <c r="A46" s="6" t="s">
        <v>153</v>
      </c>
      <c r="B46" s="6" t="s">
        <v>154</v>
      </c>
      <c r="C46" s="6" t="s">
        <v>155</v>
      </c>
      <c r="D46" s="7" t="s">
        <v>156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</row>
    <row r="47" customFormat="false" ht="15" hidden="false" customHeight="false" outlineLevel="0" collapsed="false">
      <c r="A47" s="6" t="s">
        <v>157</v>
      </c>
      <c r="B47" s="6" t="s">
        <v>158</v>
      </c>
      <c r="C47" s="6" t="s">
        <v>117</v>
      </c>
      <c r="D47" s="7" t="s">
        <v>118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</row>
    <row r="48" customFormat="false" ht="15" hidden="false" customHeight="false" outlineLevel="0" collapsed="false">
      <c r="A48" s="6" t="s">
        <v>159</v>
      </c>
      <c r="B48" s="6" t="s">
        <v>160</v>
      </c>
      <c r="C48" s="6" t="s">
        <v>38</v>
      </c>
      <c r="D48" s="7" t="s">
        <v>161</v>
      </c>
      <c r="E48" s="8" t="n">
        <v>25</v>
      </c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</row>
    <row r="49" customFormat="false" ht="15" hidden="false" customHeight="false" outlineLevel="0" collapsed="false">
      <c r="A49" s="6" t="s">
        <v>162</v>
      </c>
      <c r="B49" s="6" t="s">
        <v>163</v>
      </c>
      <c r="C49" s="6" t="s">
        <v>117</v>
      </c>
      <c r="D49" s="7" t="s">
        <v>118</v>
      </c>
      <c r="E49" s="8" t="n">
        <v>5</v>
      </c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</row>
    <row r="50" customFormat="false" ht="15" hidden="false" customHeight="false" outlineLevel="0" collapsed="false">
      <c r="A50" s="6" t="s">
        <v>164</v>
      </c>
      <c r="B50" s="6" t="s">
        <v>165</v>
      </c>
      <c r="C50" s="6" t="s">
        <v>38</v>
      </c>
      <c r="D50" s="7" t="s">
        <v>166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</row>
    <row r="51" customFormat="false" ht="15" hidden="false" customHeight="false" outlineLevel="0" collapsed="false">
      <c r="A51" s="6" t="s">
        <v>167</v>
      </c>
      <c r="B51" s="6" t="s">
        <v>168</v>
      </c>
      <c r="C51" s="6" t="s">
        <v>117</v>
      </c>
      <c r="D51" s="7" t="s">
        <v>118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</row>
    <row r="52" customFormat="false" ht="15" hidden="false" customHeight="false" outlineLevel="0" collapsed="false">
      <c r="A52" s="6" t="s">
        <v>169</v>
      </c>
      <c r="B52" s="6" t="s">
        <v>170</v>
      </c>
      <c r="C52" s="6" t="s">
        <v>38</v>
      </c>
      <c r="D52" s="7" t="s">
        <v>171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</row>
    <row r="53" customFormat="false" ht="15" hidden="false" customHeight="false" outlineLevel="0" collapsed="false">
      <c r="A53" s="6" t="s">
        <v>172</v>
      </c>
      <c r="B53" s="6" t="s">
        <v>173</v>
      </c>
      <c r="C53" s="6" t="s">
        <v>117</v>
      </c>
      <c r="D53" s="7" t="s">
        <v>118</v>
      </c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</row>
    <row r="54" customFormat="false" ht="15" hidden="false" customHeight="false" outlineLevel="0" collapsed="false">
      <c r="A54" s="6" t="s">
        <v>174</v>
      </c>
      <c r="B54" s="6" t="s">
        <v>175</v>
      </c>
      <c r="C54" s="6" t="s">
        <v>155</v>
      </c>
      <c r="D54" s="7" t="s">
        <v>176</v>
      </c>
      <c r="E54" s="8" t="n">
        <v>-30</v>
      </c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</row>
    <row r="55" customFormat="false" ht="15" hidden="false" customHeight="false" outlineLevel="0" collapsed="false">
      <c r="A55" s="6" t="s">
        <v>177</v>
      </c>
      <c r="B55" s="6" t="s">
        <v>178</v>
      </c>
      <c r="C55" s="6" t="s">
        <v>117</v>
      </c>
      <c r="D55" s="7" t="s">
        <v>118</v>
      </c>
      <c r="E55" s="8" t="n">
        <v>5</v>
      </c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</row>
    <row r="56" customFormat="false" ht="15" hidden="false" customHeight="false" outlineLevel="0" collapsed="false">
      <c r="A56" s="6" t="s">
        <v>179</v>
      </c>
      <c r="B56" s="6" t="s">
        <v>180</v>
      </c>
      <c r="C56" s="6" t="s">
        <v>155</v>
      </c>
      <c r="D56" s="7" t="s">
        <v>181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</row>
    <row r="57" customFormat="false" ht="15" hidden="false" customHeight="false" outlineLevel="0" collapsed="false">
      <c r="A57" s="6" t="s">
        <v>182</v>
      </c>
      <c r="B57" s="6" t="s">
        <v>183</v>
      </c>
      <c r="C57" s="6" t="s">
        <v>117</v>
      </c>
      <c r="D57" s="7" t="s">
        <v>118</v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</row>
    <row r="58" customFormat="false" ht="15" hidden="false" customHeight="false" outlineLevel="0" collapsed="false">
      <c r="A58" s="6" t="s">
        <v>184</v>
      </c>
      <c r="B58" s="6" t="s">
        <v>185</v>
      </c>
      <c r="C58" s="6" t="s">
        <v>38</v>
      </c>
      <c r="D58" s="7" t="s">
        <v>186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</row>
    <row r="59" customFormat="false" ht="15" hidden="false" customHeight="false" outlineLevel="0" collapsed="false">
      <c r="A59" s="6" t="s">
        <v>187</v>
      </c>
      <c r="B59" s="6" t="s">
        <v>188</v>
      </c>
      <c r="C59" s="6" t="s">
        <v>117</v>
      </c>
      <c r="D59" s="7" t="s">
        <v>118</v>
      </c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</row>
    <row r="60" customFormat="false" ht="15" hidden="false" customHeight="false" outlineLevel="0" collapsed="false">
      <c r="A60" s="6" t="s">
        <v>189</v>
      </c>
      <c r="B60" s="6" t="s">
        <v>190</v>
      </c>
      <c r="C60" s="6" t="s">
        <v>38</v>
      </c>
      <c r="D60" s="7" t="s">
        <v>191</v>
      </c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</row>
    <row r="61" customFormat="false" ht="15" hidden="false" customHeight="false" outlineLevel="0" collapsed="false">
      <c r="A61" s="6" t="s">
        <v>192</v>
      </c>
      <c r="B61" s="6" t="s">
        <v>193</v>
      </c>
      <c r="C61" s="6" t="s">
        <v>117</v>
      </c>
      <c r="D61" s="7" t="s">
        <v>118</v>
      </c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</row>
    <row r="62" customFormat="false" ht="15" hidden="false" customHeight="false" outlineLevel="0" collapsed="false">
      <c r="A62" s="6" t="s">
        <v>194</v>
      </c>
      <c r="B62" s="6" t="s">
        <v>195</v>
      </c>
      <c r="C62" s="6" t="s">
        <v>38</v>
      </c>
      <c r="D62" s="7" t="s">
        <v>191</v>
      </c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</row>
    <row r="63" customFormat="false" ht="15" hidden="false" customHeight="false" outlineLevel="0" collapsed="false">
      <c r="A63" s="6" t="s">
        <v>196</v>
      </c>
      <c r="B63" s="6" t="s">
        <v>197</v>
      </c>
      <c r="C63" s="6" t="s">
        <v>117</v>
      </c>
      <c r="D63" s="7" t="s">
        <v>118</v>
      </c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</row>
    <row r="64" customFormat="false" ht="15" hidden="false" customHeight="false" outlineLevel="0" collapsed="false">
      <c r="A64" s="6" t="s">
        <v>198</v>
      </c>
      <c r="B64" s="6" t="s">
        <v>199</v>
      </c>
      <c r="C64" s="6" t="s">
        <v>200</v>
      </c>
      <c r="D64" s="7" t="s">
        <v>201</v>
      </c>
      <c r="E64" s="8" t="n">
        <v>16.5</v>
      </c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</row>
    <row r="65" customFormat="false" ht="15" hidden="false" customHeight="false" outlineLevel="0" collapsed="false">
      <c r="A65" s="6" t="s">
        <v>202</v>
      </c>
      <c r="B65" s="6" t="s">
        <v>203</v>
      </c>
      <c r="C65" s="6" t="s">
        <v>204</v>
      </c>
      <c r="D65" s="7" t="s">
        <v>205</v>
      </c>
      <c r="E65" s="8" t="n">
        <v>140</v>
      </c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</row>
    <row r="66" customFormat="false" ht="15" hidden="false" customHeight="false" outlineLevel="0" collapsed="false">
      <c r="A66" s="6" t="s">
        <v>206</v>
      </c>
      <c r="B66" s="6" t="s">
        <v>207</v>
      </c>
      <c r="C66" s="6" t="s">
        <v>208</v>
      </c>
      <c r="D66" s="7" t="s">
        <v>209</v>
      </c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</row>
    <row r="67" customFormat="false" ht="15" hidden="false" customHeight="false" outlineLevel="0" collapsed="false">
      <c r="A67" s="6" t="s">
        <v>210</v>
      </c>
      <c r="B67" s="6" t="s">
        <v>211</v>
      </c>
      <c r="C67" s="6" t="s">
        <v>208</v>
      </c>
      <c r="D67" s="7" t="s">
        <v>212</v>
      </c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</row>
    <row r="68" customFormat="false" ht="15" hidden="false" customHeight="false" outlineLevel="0" collapsed="false">
      <c r="A68" s="6" t="s">
        <v>213</v>
      </c>
      <c r="B68" s="6" t="s">
        <v>214</v>
      </c>
      <c r="C68" s="6" t="s">
        <v>200</v>
      </c>
      <c r="D68" s="7" t="s">
        <v>215</v>
      </c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</row>
    <row r="69" customFormat="false" ht="15" hidden="false" customHeight="false" outlineLevel="0" collapsed="false">
      <c r="A69" s="6" t="s">
        <v>216</v>
      </c>
      <c r="B69" s="6" t="s">
        <v>217</v>
      </c>
      <c r="C69" s="6" t="s">
        <v>218</v>
      </c>
      <c r="D69" s="7" t="s">
        <v>219</v>
      </c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</row>
    <row r="70" customFormat="false" ht="15" hidden="false" customHeight="false" outlineLevel="0" collapsed="false">
      <c r="A70" s="6" t="s">
        <v>220</v>
      </c>
      <c r="B70" s="6" t="s">
        <v>221</v>
      </c>
      <c r="D70" s="7" t="s">
        <v>222</v>
      </c>
      <c r="E70" s="10" t="s">
        <v>223</v>
      </c>
    </row>
  </sheetData>
  <dataValidations count="2">
    <dataValidation allowBlank="true" error="Reps must be a whole number from 1 to 10" errorStyle="stop" operator="between" showDropDown="false" showErrorMessage="true" showInputMessage="false" sqref="E31:AH31 E33:AH33 E35:AH35 E37:AH37 E39:AH39 E41:AH41 E43:AH43 E45:AH45 E47:AH47 E49:AH49 E51:AH51 E53:AH53 E55:AH55 E57:AH57 E59:AH59 E61:AH61 E63:AH63" type="whole">
      <formula1>1</formula1>
      <formula2>10</formula2>
    </dataValidation>
    <dataValidation allowBlank="true" error="Enter male or female" errorStyle="stop" operator="between" showDropDown="false" showErrorMessage="true" showInputMessage="false" sqref="E5:AH5" type="list">
      <formula1>"male,female"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2"/>
    <col collapsed="false" customWidth="true" hidden="false" outlineLevel="0" max="4" min="4" style="0" width="10"/>
    <col collapsed="false" customWidth="true" hidden="false" outlineLevel="0" max="5" min="5" style="0" width="90"/>
    <col collapsed="false" customWidth="true" hidden="true" outlineLevel="0" max="10" min="10" style="0" width="13"/>
    <col collapsed="false" customWidth="true" hidden="true" outlineLevel="0" max="12" min="12" style="0" width="13"/>
  </cols>
  <sheetData>
    <row r="1" customFormat="false" ht="16.15" hidden="false" customHeight="false" outlineLevel="0" collapsed="false">
      <c r="A1" s="11" t="s">
        <v>224</v>
      </c>
    </row>
    <row r="2" customFormat="false" ht="15" hidden="false" customHeight="false" outlineLevel="0" collapsed="false">
      <c r="A2" s="12" t="s">
        <v>225</v>
      </c>
      <c r="B2" s="13" t="n">
        <f aca="false">r_date</f>
        <v>46266</v>
      </c>
    </row>
    <row r="3" customFormat="false" ht="15" hidden="false" customHeight="false" outlineLevel="0" collapsed="false">
      <c r="A3" s="12" t="s">
        <v>226</v>
      </c>
      <c r="B3" s="10" t="s">
        <v>227</v>
      </c>
      <c r="C3" s="7" t="s">
        <v>228</v>
      </c>
    </row>
    <row r="4" customFormat="false" ht="15" hidden="false" customHeight="false" outlineLevel="0" collapsed="false">
      <c r="A4" s="4" t="s">
        <v>229</v>
      </c>
      <c r="B4" s="4" t="s">
        <v>230</v>
      </c>
      <c r="C4" s="4" t="s">
        <v>231</v>
      </c>
      <c r="D4" s="4" t="s">
        <v>232</v>
      </c>
      <c r="E4" s="4" t="s">
        <v>233</v>
      </c>
    </row>
    <row r="5" customFormat="false" ht="15" hidden="false" customHeight="false" outlineLevel="0" collapsed="false">
      <c r="A5" s="6" t="s">
        <v>234</v>
      </c>
      <c r="B5" s="14" t="n">
        <f aca="false">MAX(0,MIN(1,(p_whtr_zero-m_waist/m_height)/(p_whtr_zero-p_whtr_best)))</f>
        <v>0.910569105691057</v>
      </c>
      <c r="C5" s="15" t="n">
        <f aca="false">IF(c_mode="purposes",Purposes!$B$12,Attributes!$E$4)</f>
        <v>0.222222222222222</v>
      </c>
      <c r="D5" s="14" t="n">
        <f aca="false">IF(OR(B5="",B5&lt;=0),"",LN(B5))</f>
        <v>-0.0936854840773231</v>
      </c>
      <c r="E5" s="7" t="s">
        <v>235</v>
      </c>
      <c r="J5" s="14" t="n">
        <f aca="false">IF(D5="",0,D5)</f>
        <v>-0.0936854840773231</v>
      </c>
      <c r="L5" s="6" t="n">
        <f aca="false">IF(B5="",0,1)</f>
        <v>1</v>
      </c>
    </row>
    <row r="6" customFormat="false" ht="15" hidden="false" customHeight="false" outlineLevel="0" collapsed="false">
      <c r="A6" s="6" t="s">
        <v>236</v>
      </c>
      <c r="B6" s="14" t="n">
        <f aca="false">IF(r_fit_pct="","",r_fit_pct/100)</f>
        <v>0.605777244041105</v>
      </c>
      <c r="C6" s="15" t="n">
        <f aca="false">IF(c_mode="purposes",Purposes!$B$13,Attributes!$E$5)</f>
        <v>0.277777777777778</v>
      </c>
      <c r="D6" s="14" t="n">
        <f aca="false">IF(OR(B6="",B6&lt;=0),"",LN(B6))</f>
        <v>-0.501242944579</v>
      </c>
      <c r="E6" s="7" t="s">
        <v>237</v>
      </c>
      <c r="J6" s="14" t="n">
        <f aca="false">IF(D6="",0,D6)</f>
        <v>-0.501242944579</v>
      </c>
      <c r="L6" s="6" t="n">
        <f aca="false">IF(B6="",0,1)</f>
        <v>1</v>
      </c>
    </row>
    <row r="7" customFormat="false" ht="15" hidden="false" customHeight="false" outlineLevel="0" collapsed="false">
      <c r="A7" s="6" t="s">
        <v>238</v>
      </c>
      <c r="B7" s="14" t="n">
        <f aca="false">s_gm/p_strength_ref</f>
        <v>0.483865559615249</v>
      </c>
      <c r="C7" s="15" t="n">
        <f aca="false">IF(c_mode="purposes",Purposes!$B$14,Attributes!$E$6)</f>
        <v>0.277777777777778</v>
      </c>
      <c r="D7" s="14" t="n">
        <f aca="false">IF(OR(B7="",B7&lt;=0),"",LN(B7))</f>
        <v>-0.725948180240549</v>
      </c>
      <c r="E7" s="7" t="s">
        <v>239</v>
      </c>
      <c r="J7" s="14" t="n">
        <f aca="false">IF(D7="",0,D7)</f>
        <v>-0.725948180240549</v>
      </c>
      <c r="L7" s="6" t="n">
        <f aca="false">IF(B7="",0,1)</f>
        <v>1</v>
      </c>
    </row>
    <row r="8" customFormat="false" ht="15" hidden="false" customHeight="false" outlineLevel="0" collapsed="false">
      <c r="A8" s="6" t="s">
        <v>240</v>
      </c>
      <c r="B8" s="14" t="n">
        <f aca="false">r_lbm/r_size_ceiling</f>
        <v>0.711570444359964</v>
      </c>
      <c r="C8" s="15" t="n">
        <f aca="false">IF(c_mode="purposes",Purposes!$B$15,Attributes!$E$7)</f>
        <v>0.111111111111111</v>
      </c>
      <c r="D8" s="14" t="n">
        <f aca="false">IF(OR(B8="",B8&lt;=0),"",LN(B8))</f>
        <v>-0.340280858117152</v>
      </c>
      <c r="E8" s="7" t="s">
        <v>241</v>
      </c>
      <c r="J8" s="14" t="n">
        <f aca="false">IF(D8="",0,D8)</f>
        <v>-0.340280858117152</v>
      </c>
      <c r="L8" s="6" t="n">
        <f aca="false">IF(B8="",0,1)</f>
        <v>1</v>
      </c>
    </row>
    <row r="9" customFormat="false" ht="15" hidden="false" customHeight="false" outlineLevel="0" collapsed="false">
      <c r="A9" s="6" t="s">
        <v>242</v>
      </c>
      <c r="B9" s="14" t="n">
        <f aca="false">IF(r_aes_dist="","",1/(1+r_aes_dist))</f>
        <v>0.960869435936572</v>
      </c>
      <c r="C9" s="15" t="n">
        <f aca="false">IF(c_mode="purposes",Purposes!$B$16,Attributes!$E$8)</f>
        <v>0.111111111111111</v>
      </c>
      <c r="D9" s="14" t="n">
        <f aca="false">IF(OR(B9="",B9&lt;=0),"",LN(B9))</f>
        <v>-0.0399167419511012</v>
      </c>
      <c r="E9" s="7" t="s">
        <v>243</v>
      </c>
      <c r="J9" s="14" t="n">
        <f aca="false">IF(D9="",0,D9)</f>
        <v>-0.0399167419511012</v>
      </c>
      <c r="L9" s="6" t="n">
        <f aca="false">IF(B9="",0,1)</f>
        <v>1</v>
      </c>
    </row>
    <row r="11" customFormat="false" ht="15" hidden="false" customHeight="false" outlineLevel="0" collapsed="false">
      <c r="A11" s="12" t="s">
        <v>244</v>
      </c>
      <c r="B11" s="14" t="n">
        <f aca="false">c_attr</f>
        <v>0.711617421175659</v>
      </c>
    </row>
    <row r="12" customFormat="false" ht="15" hidden="false" customHeight="false" outlineLevel="0" collapsed="false">
      <c r="A12" s="12" t="s">
        <v>245</v>
      </c>
      <c r="B12" s="14" t="n">
        <f aca="false">c_purp</f>
        <v>0.667677772844183</v>
      </c>
    </row>
    <row r="13" customFormat="false" ht="15" hidden="false" customHeight="false" outlineLevel="0" collapsed="false">
      <c r="A13" s="12" t="s">
        <v>246</v>
      </c>
      <c r="B13" s="14" t="n">
        <f aca="false">IF(c_mode="purposes",c_purp,c_attr)</f>
        <v>0.667677772844183</v>
      </c>
      <c r="E13" s="7" t="s">
        <v>247</v>
      </c>
    </row>
    <row r="14" customFormat="false" ht="15" hidden="false" customHeight="false" outlineLevel="0" collapsed="false">
      <c r="A14" s="12" t="s">
        <v>248</v>
      </c>
      <c r="B14" s="6" t="str">
        <f aca="false">INDEX($A$5:$A$9,MATCH(MIN($B$5:$B$9),$B$5:$B$9,0))</f>
        <v>Strength</v>
      </c>
    </row>
    <row r="16" customFormat="false" ht="15" hidden="false" customHeight="false" outlineLevel="0" collapsed="false">
      <c r="A16" s="7" t="s">
        <v>249</v>
      </c>
    </row>
  </sheetData>
  <dataValidations count="1">
    <dataValidation allowBlank="false" errorStyle="stop" operator="between" showDropDown="false" showErrorMessage="false" showInputMessage="false" sqref="B3" type="list">
      <formula1>"attributes,purposes"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8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7" min="7" style="0" width="90"/>
  </cols>
  <sheetData>
    <row r="1" customFormat="false" ht="16.15" hidden="false" customHeight="false" outlineLevel="0" collapsed="false">
      <c r="A1" s="11" t="s">
        <v>250</v>
      </c>
    </row>
    <row r="2" customFormat="false" ht="15" hidden="false" customHeight="false" outlineLevel="0" collapsed="false">
      <c r="A2" s="7" t="s">
        <v>251</v>
      </c>
    </row>
    <row r="3" customFormat="false" ht="15" hidden="false" customHeight="false" outlineLevel="0" collapsed="false">
      <c r="A3" s="4" t="s">
        <v>229</v>
      </c>
      <c r="B3" s="4" t="s">
        <v>252</v>
      </c>
      <c r="C3" s="4" t="s">
        <v>253</v>
      </c>
      <c r="D3" s="4" t="s">
        <v>254</v>
      </c>
      <c r="E3" s="4" t="s">
        <v>255</v>
      </c>
      <c r="F3" s="4" t="s">
        <v>256</v>
      </c>
      <c r="G3" s="4" t="s">
        <v>257</v>
      </c>
    </row>
    <row r="4" customFormat="false" ht="15" hidden="false" customHeight="false" outlineLevel="0" collapsed="false">
      <c r="A4" s="6" t="s">
        <v>234</v>
      </c>
      <c r="B4" s="16" t="n">
        <v>1</v>
      </c>
      <c r="C4" s="8"/>
      <c r="D4" s="14" t="n">
        <f aca="false">IF(Summary!$B$5="",0,IF(SUM($C$4:$C$8)&gt;0,N(C4),IF(B4="",0,1/B4)))</f>
        <v>1</v>
      </c>
      <c r="E4" s="15" t="n">
        <f aca="false">D4/SUM($D$4:$D$8)</f>
        <v>0.2</v>
      </c>
      <c r="F4" s="14" t="n">
        <f aca="false">Summary!$B$5</f>
        <v>0.910569105691057</v>
      </c>
      <c r="G4" s="7" t="s">
        <v>235</v>
      </c>
    </row>
    <row r="5" customFormat="false" ht="15" hidden="false" customHeight="false" outlineLevel="0" collapsed="false">
      <c r="A5" s="6" t="s">
        <v>236</v>
      </c>
      <c r="B5" s="16" t="n">
        <v>1</v>
      </c>
      <c r="C5" s="8"/>
      <c r="D5" s="14" t="n">
        <f aca="false">IF(Summary!$B$6="",0,IF(SUM($C$4:$C$8)&gt;0,N(C5),IF(B5="",0,1/B5)))</f>
        <v>1</v>
      </c>
      <c r="E5" s="15" t="n">
        <f aca="false">D5/SUM($D$4:$D$8)</f>
        <v>0.2</v>
      </c>
      <c r="F5" s="14" t="n">
        <f aca="false">Summary!$B$6</f>
        <v>0.605777244041105</v>
      </c>
      <c r="G5" s="7" t="s">
        <v>237</v>
      </c>
    </row>
    <row r="6" customFormat="false" ht="15" hidden="false" customHeight="false" outlineLevel="0" collapsed="false">
      <c r="A6" s="6" t="s">
        <v>238</v>
      </c>
      <c r="B6" s="16" t="n">
        <v>1</v>
      </c>
      <c r="C6" s="8"/>
      <c r="D6" s="14" t="n">
        <f aca="false">IF(Summary!$B$7="",0,IF(SUM($C$4:$C$8)&gt;0,N(C6),IF(B6="",0,1/B6)))</f>
        <v>1</v>
      </c>
      <c r="E6" s="15" t="n">
        <f aca="false">D6/SUM($D$4:$D$8)</f>
        <v>0.2</v>
      </c>
      <c r="F6" s="14" t="n">
        <f aca="false">Summary!$B$7</f>
        <v>0.483865559615249</v>
      </c>
      <c r="G6" s="7" t="s">
        <v>239</v>
      </c>
    </row>
    <row r="7" customFormat="false" ht="15" hidden="false" customHeight="false" outlineLevel="0" collapsed="false">
      <c r="A7" s="6" t="s">
        <v>240</v>
      </c>
      <c r="B7" s="16" t="n">
        <v>1</v>
      </c>
      <c r="C7" s="8"/>
      <c r="D7" s="14" t="n">
        <f aca="false">IF(Summary!$B$8="",0,IF(SUM($C$4:$C$8)&gt;0,N(C7),IF(B7="",0,1/B7)))</f>
        <v>1</v>
      </c>
      <c r="E7" s="15" t="n">
        <f aca="false">D7/SUM($D$4:$D$8)</f>
        <v>0.2</v>
      </c>
      <c r="F7" s="14" t="n">
        <f aca="false">Summary!$B$8</f>
        <v>0.711570444359964</v>
      </c>
      <c r="G7" s="7" t="s">
        <v>241</v>
      </c>
    </row>
    <row r="8" customFormat="false" ht="15" hidden="false" customHeight="false" outlineLevel="0" collapsed="false">
      <c r="A8" s="6" t="s">
        <v>242</v>
      </c>
      <c r="B8" s="16" t="n">
        <v>1</v>
      </c>
      <c r="C8" s="8"/>
      <c r="D8" s="14" t="n">
        <f aca="false">IF(Summary!$B$9="",0,IF(SUM($C$4:$C$8)&gt;0,N(C8),IF(B8="",0,1/B8)))</f>
        <v>1</v>
      </c>
      <c r="E8" s="15" t="n">
        <f aca="false">D8/SUM($D$4:$D$8)</f>
        <v>0.2</v>
      </c>
      <c r="F8" s="14" t="n">
        <f aca="false">Summary!$B$9</f>
        <v>0.960869435936572</v>
      </c>
      <c r="G8" s="7" t="s">
        <v>243</v>
      </c>
    </row>
    <row r="10" customFormat="false" ht="15" hidden="false" customHeight="false" outlineLevel="0" collapsed="false">
      <c r="A10" s="12" t="s">
        <v>244</v>
      </c>
      <c r="B10" s="14" t="n">
        <f aca="false">IF(MIN(Summary!$B$5:$B$9)&lt;=0,0,EXP(SUMPRODUCT($D$4:$D$8,Summary!$J$5:$J$9)/SUM($D$4:$D$8)))</f>
        <v>0.711617421175659</v>
      </c>
    </row>
    <row r="13" customFormat="false" ht="16.15" hidden="false" customHeight="false" outlineLevel="0" collapsed="false">
      <c r="A13" s="11" t="s">
        <v>258</v>
      </c>
    </row>
    <row r="14" customFormat="false" ht="15" hidden="false" customHeight="false" outlineLevel="0" collapsed="false">
      <c r="A14" s="7" t="s">
        <v>259</v>
      </c>
    </row>
    <row r="15" customFormat="false" ht="15" hidden="false" customHeight="false" outlineLevel="0" collapsed="false">
      <c r="A15" s="4" t="s">
        <v>260</v>
      </c>
      <c r="B15" s="4" t="s">
        <v>261</v>
      </c>
      <c r="C15" s="4" t="s">
        <v>256</v>
      </c>
      <c r="D15" s="4" t="s">
        <v>262</v>
      </c>
    </row>
    <row r="16" customFormat="false" ht="15" hidden="false" customHeight="false" outlineLevel="0" collapsed="false">
      <c r="A16" s="6" t="s">
        <v>263</v>
      </c>
      <c r="B16" s="15" t="n">
        <f aca="false">SUMPRODUCT($E$4:$E$8,Parameters!$B$251:$B$255/Parameters!$E$251:$E$255)</f>
        <v>0.3</v>
      </c>
      <c r="C16" s="14" t="n">
        <f aca="false">IF(SUMPRODUCT($D$4:$D$8,Parameters!$B$251:$B$255)=0,"",EXP(SUMPRODUCT($D$4:$D$8,Parameters!$B$251:$B$255,Summary!$J$5:$J$9)/SUMPRODUCT($D$4:$D$8,Parameters!$B$251:$B$255)))</f>
        <v>0.643848259222997</v>
      </c>
      <c r="D16" s="7" t="s">
        <v>264</v>
      </c>
    </row>
    <row r="17" customFormat="false" ht="15" hidden="false" customHeight="false" outlineLevel="0" collapsed="false">
      <c r="A17" s="6" t="s">
        <v>265</v>
      </c>
      <c r="B17" s="15" t="n">
        <f aca="false">SUMPRODUCT($E$4:$E$8,Parameters!$C$251:$C$255/Parameters!$E$251:$E$255)</f>
        <v>0.5</v>
      </c>
      <c r="C17" s="14" t="n">
        <f aca="false">IF(SUMPRODUCT($D$4:$D$8,Parameters!$C$251:$C$255)=0,"",EXP(SUMPRODUCT($D$4:$D$8,Parameters!$C$251:$C$255,Summary!$J$5:$J$9)/SUMPRODUCT($D$4:$D$8,Parameters!$C$251:$C$255)))</f>
        <v>0.853883058809179</v>
      </c>
      <c r="D17" s="7" t="s">
        <v>266</v>
      </c>
    </row>
    <row r="18" customFormat="false" ht="15" hidden="false" customHeight="false" outlineLevel="0" collapsed="false">
      <c r="A18" s="6" t="s">
        <v>267</v>
      </c>
      <c r="B18" s="15" t="n">
        <f aca="false">SUMPRODUCT($E$4:$E$8,Parameters!$D$251:$D$255/Parameters!$E$251:$E$255)</f>
        <v>0.2</v>
      </c>
      <c r="C18" s="14" t="n">
        <f aca="false">IF(SUMPRODUCT($D$4:$D$8,Parameters!$D$251:$D$255)=0,"",EXP(SUMPRODUCT($D$4:$D$8,Parameters!$D$251:$D$255,Summary!$J$5:$J$9)/SUMPRODUCT($D$4:$D$8,Parameters!$D$251:$D$255)))</f>
        <v>0.541400725147402</v>
      </c>
      <c r="D18" s="7" t="s">
        <v>268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7" min="7" style="0" width="60"/>
    <col collapsed="false" customWidth="true" hidden="true" outlineLevel="0" max="9" min="8" style="0" width="8"/>
  </cols>
  <sheetData>
    <row r="1" customFormat="false" ht="16.15" hidden="false" customHeight="false" outlineLevel="0" collapsed="false">
      <c r="A1" s="11" t="s">
        <v>269</v>
      </c>
    </row>
    <row r="2" customFormat="false" ht="15" hidden="false" customHeight="false" outlineLevel="0" collapsed="false">
      <c r="A2" s="7" t="s">
        <v>270</v>
      </c>
    </row>
    <row r="3" customFormat="false" ht="15" hidden="false" customHeight="false" outlineLevel="0" collapsed="false">
      <c r="A3" s="4" t="s">
        <v>260</v>
      </c>
      <c r="B3" s="4" t="s">
        <v>252</v>
      </c>
      <c r="C3" s="4" t="s">
        <v>253</v>
      </c>
      <c r="D3" s="4" t="s">
        <v>254</v>
      </c>
      <c r="E3" s="4" t="s">
        <v>255</v>
      </c>
      <c r="F3" s="4" t="s">
        <v>256</v>
      </c>
      <c r="G3" s="4" t="s">
        <v>262</v>
      </c>
    </row>
    <row r="4" customFormat="false" ht="15" hidden="false" customHeight="false" outlineLevel="0" collapsed="false">
      <c r="A4" s="6" t="s">
        <v>263</v>
      </c>
      <c r="B4" s="16" t="n">
        <v>1</v>
      </c>
      <c r="C4" s="8"/>
      <c r="D4" s="14" t="n">
        <f aca="false">IF(F4="",0,IF(SUM($C$4:$C$6)&gt;0,N(C4),IF(B4="",0,1/B4)))</f>
        <v>1</v>
      </c>
      <c r="E4" s="15" t="n">
        <f aca="false">D4/SUM($D$4:$D$6)</f>
        <v>0.333333333333333</v>
      </c>
      <c r="F4" s="14" t="n">
        <f aca="false">IF(I4=0,"",EXP(SUMPRODUCT(Parameters!$B$251:$B$255,Summary!$L$5:$L$9,Summary!$J$5:$J$9)/I4))</f>
        <v>0.643848259222997</v>
      </c>
      <c r="G4" s="7" t="s">
        <v>264</v>
      </c>
      <c r="H4" s="6" t="n">
        <f aca="false">IF(F4="",0,IF(F4&lt;=0,-1000,LN(F4)))</f>
        <v>-0.440292202965624</v>
      </c>
      <c r="I4" s="6" t="n">
        <f aca="false">SUMPRODUCT(Parameters!$B$251:$B$255,Summary!$L$5:$L$9)</f>
        <v>3</v>
      </c>
    </row>
    <row r="5" customFormat="false" ht="15" hidden="false" customHeight="false" outlineLevel="0" collapsed="false">
      <c r="A5" s="6" t="s">
        <v>265</v>
      </c>
      <c r="B5" s="16" t="n">
        <v>1</v>
      </c>
      <c r="C5" s="8"/>
      <c r="D5" s="14" t="n">
        <f aca="false">IF(F5="",0,IF(SUM($C$4:$C$6)&gt;0,N(C5),IF(B5="",0,1/B5)))</f>
        <v>1</v>
      </c>
      <c r="E5" s="15" t="n">
        <f aca="false">D5/SUM($D$4:$D$6)</f>
        <v>0.333333333333333</v>
      </c>
      <c r="F5" s="14" t="n">
        <f aca="false">IF(I5=0,"",EXP(SUMPRODUCT(Parameters!$C$251:$C$255,Summary!$L$5:$L$9,Summary!$J$5:$J$9)/I5))</f>
        <v>0.853883058809179</v>
      </c>
      <c r="G5" s="7" t="s">
        <v>266</v>
      </c>
      <c r="H5" s="6" t="n">
        <f aca="false">IF(F5="",0,IF(F5&lt;=0,-1000,LN(F5)))</f>
        <v>-0.157961028048526</v>
      </c>
      <c r="I5" s="6" t="n">
        <f aca="false">SUMPRODUCT(Parameters!$C$251:$C$255,Summary!$L$5:$L$9)</f>
        <v>3</v>
      </c>
    </row>
    <row r="6" customFormat="false" ht="15" hidden="false" customHeight="false" outlineLevel="0" collapsed="false">
      <c r="A6" s="6" t="s">
        <v>267</v>
      </c>
      <c r="B6" s="16" t="n">
        <v>1</v>
      </c>
      <c r="C6" s="8"/>
      <c r="D6" s="14" t="n">
        <f aca="false">IF(F6="",0,IF(SUM($C$4:$C$6)&gt;0,N(C6),IF(B6="",0,1/B6)))</f>
        <v>1</v>
      </c>
      <c r="E6" s="15" t="n">
        <f aca="false">D6/SUM($D$4:$D$6)</f>
        <v>0.333333333333333</v>
      </c>
      <c r="F6" s="14" t="n">
        <f aca="false">IF(I6=0,"",EXP(SUMPRODUCT(Parameters!$D$251:$D$255,Summary!$L$5:$L$9,Summary!$J$5:$J$9)/I6))</f>
        <v>0.541400725147402</v>
      </c>
      <c r="G6" s="7" t="s">
        <v>268</v>
      </c>
      <c r="H6" s="6" t="n">
        <f aca="false">IF(F6="",0,IF(F6&lt;=0,-1000,LN(F6)))</f>
        <v>-0.613595562409775</v>
      </c>
      <c r="I6" s="6" t="n">
        <f aca="false">SUMPRODUCT(Parameters!$D$251:$D$255,Summary!$L$5:$L$9)</f>
        <v>2</v>
      </c>
    </row>
    <row r="8" customFormat="false" ht="15" hidden="false" customHeight="false" outlineLevel="0" collapsed="false">
      <c r="A8" s="12" t="s">
        <v>245</v>
      </c>
      <c r="B8" s="14" t="n">
        <f aca="false">IF(MIN($F$4:$F$6)&lt;=0,0,EXP(SUMPRODUCT($D$4:$D$6,$H$4:$H$6)/SUM($D$4:$D$6)))</f>
        <v>0.667677772844183</v>
      </c>
    </row>
    <row r="10" customFormat="false" ht="16.15" hidden="false" customHeight="false" outlineLevel="0" collapsed="false">
      <c r="A10" s="11" t="s">
        <v>271</v>
      </c>
    </row>
    <row r="11" customFormat="false" ht="15" hidden="false" customHeight="false" outlineLevel="0" collapsed="false">
      <c r="A11" s="4" t="s">
        <v>229</v>
      </c>
      <c r="B11" s="4" t="s">
        <v>272</v>
      </c>
    </row>
    <row r="12" customFormat="false" ht="15" hidden="false" customHeight="false" outlineLevel="0" collapsed="false">
      <c r="A12" s="6" t="s">
        <v>234</v>
      </c>
      <c r="B12" s="15" t="n">
        <f aca="false">Summary!$L$5*(IF($I$4=0,0,$E$4*Parameters!$B$251/$I$4)+IF($I$5=0,0,$E$5*Parameters!$C$251/$I$5)+IF($I$6=0,0,$E$6*Parameters!$D$251/$I$6))</f>
        <v>0.222222222222222</v>
      </c>
    </row>
    <row r="13" customFormat="false" ht="15" hidden="false" customHeight="false" outlineLevel="0" collapsed="false">
      <c r="A13" s="6" t="s">
        <v>236</v>
      </c>
      <c r="B13" s="15" t="n">
        <f aca="false">Summary!$L$6*(IF($I$4=0,0,$E$4*Parameters!$B$252/$I$4)+IF($I$5=0,0,$E$5*Parameters!$C$252/$I$5)+IF($I$6=0,0,$E$6*Parameters!$D$252/$I$6))</f>
        <v>0.277777777777778</v>
      </c>
    </row>
    <row r="14" customFormat="false" ht="15" hidden="false" customHeight="false" outlineLevel="0" collapsed="false">
      <c r="A14" s="6" t="s">
        <v>238</v>
      </c>
      <c r="B14" s="15" t="n">
        <f aca="false">Summary!$L$7*(IF($I$4=0,0,$E$4*Parameters!$B$253/$I$4)+IF($I$5=0,0,$E$5*Parameters!$C$253/$I$5)+IF($I$6=0,0,$E$6*Parameters!$D$253/$I$6))</f>
        <v>0.277777777777778</v>
      </c>
    </row>
    <row r="15" customFormat="false" ht="15" hidden="false" customHeight="false" outlineLevel="0" collapsed="false">
      <c r="A15" s="6" t="s">
        <v>240</v>
      </c>
      <c r="B15" s="15" t="n">
        <f aca="false">Summary!$L$8*(IF($I$4=0,0,$E$4*Parameters!$B$254/$I$4)+IF($I$5=0,0,$E$5*Parameters!$C$254/$I$5)+IF($I$6=0,0,$E$6*Parameters!$D$254/$I$6))</f>
        <v>0.111111111111111</v>
      </c>
    </row>
    <row r="16" customFormat="false" ht="15" hidden="false" customHeight="false" outlineLevel="0" collapsed="false">
      <c r="A16" s="6" t="s">
        <v>242</v>
      </c>
      <c r="B16" s="15" t="n">
        <f aca="false">Summary!$L$9*(IF($I$4=0,0,$E$4*Parameters!$B$255/$I$4)+IF($I$5=0,0,$E$5*Parameters!$C$255/$I$5)+IF($I$6=0,0,$E$6*Parameters!$D$255/$I$6))</f>
        <v>0.111111111111111</v>
      </c>
    </row>
    <row r="17" customFormat="false" ht="15" hidden="false" customHeight="false" outlineLevel="0" collapsed="false">
      <c r="A17" s="7" t="s">
        <v>273</v>
      </c>
      <c r="B17" s="14" t="n">
        <f aca="false">IF(MIN(Summary!$B$5:$B$9)&lt;=0,0,EXP(SUMPRODUCT($B$12:$B$16,Summary!$J$5:$J$9)))</f>
        <v>0.667677772844183</v>
      </c>
    </row>
    <row r="19" customFormat="false" ht="15" hidden="false" customHeight="false" outlineLevel="0" collapsed="false">
      <c r="A19" s="7" t="s">
        <v>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3"/>
    <col collapsed="false" customWidth="true" hidden="false" outlineLevel="0" max="5" min="5" style="0" width="40"/>
    <col collapsed="false" customWidth="true" hidden="false" outlineLevel="0" max="7" min="6" style="0" width="13"/>
    <col collapsed="false" customWidth="true" hidden="true" outlineLevel="0" max="8" min="8" style="0" width="13"/>
    <col collapsed="false" customWidth="true" hidden="false" outlineLevel="0" max="9" min="9" style="0" width="13"/>
    <col collapsed="false" customWidth="true" hidden="true" outlineLevel="0" max="16" min="10" style="0" width="13"/>
  </cols>
  <sheetData>
    <row r="1" customFormat="false" ht="16.15" hidden="false" customHeight="false" outlineLevel="0" collapsed="false">
      <c r="A1" s="11" t="s">
        <v>275</v>
      </c>
    </row>
    <row r="2" customFormat="false" ht="15" hidden="false" customHeight="false" outlineLevel="0" collapsed="false">
      <c r="A2" s="12" t="s">
        <v>225</v>
      </c>
      <c r="B2" s="13" t="n">
        <f aca="false">r_date</f>
        <v>46266</v>
      </c>
    </row>
    <row r="3" customFormat="false" ht="15" hidden="false" customHeight="false" outlineLevel="0" collapsed="false">
      <c r="A3" s="7" t="s">
        <v>276</v>
      </c>
    </row>
    <row r="5" customFormat="false" ht="16.15" hidden="false" customHeight="false" outlineLevel="0" collapsed="false">
      <c r="A5" s="11" t="s">
        <v>277</v>
      </c>
    </row>
    <row r="6" customFormat="false" ht="15" hidden="false" customHeight="false" outlineLevel="0" collapsed="false">
      <c r="A6" s="4" t="s">
        <v>278</v>
      </c>
      <c r="B6" s="4" t="s">
        <v>279</v>
      </c>
      <c r="C6" s="4" t="s">
        <v>280</v>
      </c>
      <c r="D6" s="4" t="s">
        <v>281</v>
      </c>
      <c r="E6" s="4" t="s">
        <v>282</v>
      </c>
      <c r="F6" s="4" t="s">
        <v>283</v>
      </c>
      <c r="G6" s="4" t="s">
        <v>284</v>
      </c>
      <c r="H6" s="4" t="s">
        <v>285</v>
      </c>
    </row>
    <row r="7" customFormat="false" ht="15" hidden="false" customHeight="false" outlineLevel="0" collapsed="false">
      <c r="A7" s="6" t="s">
        <v>286</v>
      </c>
      <c r="B7" s="17" t="n">
        <f aca="false">m_waist</f>
        <v>76</v>
      </c>
      <c r="C7" s="14" t="n">
        <f aca="false">B7/m_height</f>
        <v>0.463414634146342</v>
      </c>
      <c r="D7" s="18" t="n">
        <f aca="false">(p_navy_k1/(p_navy_a-p_navy_b*LOG10(B7+p_navy_hip*N(m_hips)-m_neck)+p_navy_c*LOG10(m_height))-p_navy_k2)/100</f>
        <v>0.30695798750154</v>
      </c>
      <c r="E7" s="17" t="n">
        <f aca="false">r_lbm/(1-D7)</f>
        <v>66</v>
      </c>
      <c r="F7" s="17" t="n">
        <f aca="false">MAX(0,m_weight-E7)</f>
        <v>0</v>
      </c>
      <c r="G7" s="19" t="n">
        <f aca="false">F7/(p_loss_rate_hi*m_weight)</f>
        <v>0</v>
      </c>
      <c r="H7" s="19" t="n">
        <f aca="false">F7/(p_loss_rate_lo*m_weight)</f>
        <v>0</v>
      </c>
    </row>
    <row r="8" customFormat="false" ht="15" hidden="false" customHeight="false" outlineLevel="0" collapsed="false">
      <c r="A8" s="6" t="s">
        <v>287</v>
      </c>
      <c r="B8" s="17" t="n">
        <f aca="false">p_whtr_limit*m_height</f>
        <v>82</v>
      </c>
      <c r="C8" s="14" t="n">
        <f aca="false">B8/m_height</f>
        <v>0.5</v>
      </c>
      <c r="D8" s="18" t="n">
        <f aca="false">(p_navy_k1/(p_navy_a-p_navy_b*LOG10(B8+p_navy_hip*N(m_hips)-m_neck)+p_navy_c*LOG10(m_height))-p_navy_k2)/100</f>
        <v>0.336102502420355</v>
      </c>
      <c r="E8" s="17" t="n">
        <f aca="false">r_lbm/(1-D8)</f>
        <v>68.8973418210708</v>
      </c>
      <c r="F8" s="17" t="n">
        <f aca="false">MAX(0,m_weight-E8)</f>
        <v>0</v>
      </c>
      <c r="G8" s="19" t="n">
        <f aca="false">F8/(p_loss_rate_hi*m_weight)</f>
        <v>0</v>
      </c>
      <c r="H8" s="19" t="n">
        <f aca="false">F8/(p_loss_rate_lo*m_weight)</f>
        <v>0</v>
      </c>
    </row>
    <row r="9" customFormat="false" ht="15" hidden="false" customHeight="false" outlineLevel="0" collapsed="false">
      <c r="A9" s="6" t="s">
        <v>288</v>
      </c>
      <c r="B9" s="17" t="n">
        <f aca="false">p_whtr_best*m_height</f>
        <v>73.8</v>
      </c>
      <c r="C9" s="14" t="n">
        <f aca="false">B9/m_height</f>
        <v>0.45</v>
      </c>
      <c r="D9" s="18" t="n">
        <f aca="false">(p_navy_k1/(p_navy_a-p_navy_b*LOG10(B9+p_navy_hip*N(m_hips)-m_neck)+p_navy_c*LOG10(m_height))-p_navy_k2)/100</f>
        <v>0.296057384701287</v>
      </c>
      <c r="E9" s="17" t="n">
        <f aca="false">r_lbm/(1-D9)</f>
        <v>64.9779851806366</v>
      </c>
      <c r="F9" s="17" t="n">
        <f aca="false">MAX(0,m_weight-E9)</f>
        <v>1.02201481936342</v>
      </c>
      <c r="G9" s="19" t="n">
        <f aca="false">F9/(p_loss_rate_hi*m_weight)</f>
        <v>1.54850730206579</v>
      </c>
      <c r="H9" s="19" t="n">
        <f aca="false">F9/(p_loss_rate_lo*m_weight)</f>
        <v>3.09701460413158</v>
      </c>
    </row>
    <row r="10" customFormat="false" ht="15" hidden="false" customHeight="false" outlineLevel="0" collapsed="false">
      <c r="A10" s="7" t="s">
        <v>289</v>
      </c>
    </row>
    <row r="11" customFormat="false" ht="15" hidden="false" customHeight="false" outlineLevel="0" collapsed="false">
      <c r="A11" s="12" t="s">
        <v>290</v>
      </c>
      <c r="B11" s="6" t="str">
        <f aca="false">"Aim to lose "&amp;TEXT(p_loss_rate_lo*m_weight,"0.0")&amp;"-"&amp;TEXT(p_loss_rate_hi*m_weight,"0.0")&amp;" kg a week; diet does most of the work."</f>
        <v>Aim to lose 0.3-0.7 kg a week; diet does most of the work.</v>
      </c>
    </row>
    <row r="12" customFormat="false" ht="15" hidden="false" customHeight="false" outlineLevel="0" collapsed="false">
      <c r="A12" s="12" t="s">
        <v>291</v>
      </c>
      <c r="B12" s="6" t="str">
        <f aca="false">"About "&amp;TEXT(p_protein_lo*m_weight,"0")&amp;"-"&amp;TEXT(p_protein_hi*m_weight,"0")&amp;" g a day ("&amp;p_protein_lo&amp;"-"&amp;p_protein_hi&amp;" g/kg), to keep muscle while losing fat."</f>
        <v>About 106-145 g a day (1.6-2.2 g/kg), to keep muscle while losing fat.</v>
      </c>
    </row>
    <row r="13" customFormat="false" ht="15" hidden="false" customHeight="false" outlineLevel="0" collapsed="false">
      <c r="A13" s="12" t="s">
        <v>292</v>
      </c>
      <c r="B13" s="6" t="str">
        <f aca="false">"Keep lifting hard while losing fat: it is what preserves lean mass. Novice strength still rises in a modest deficit."</f>
        <v>Keep lifting hard while losing fat: it is what preserves lean mass. Novice strength still rises in a modest deficit.</v>
      </c>
    </row>
    <row r="15" customFormat="false" ht="16.15" hidden="false" customHeight="false" outlineLevel="0" collapsed="false">
      <c r="A15" s="11" t="s">
        <v>293</v>
      </c>
    </row>
    <row r="16" customFormat="false" ht="15" hidden="false" customHeight="false" outlineLevel="0" collapsed="false">
      <c r="A16" s="4"/>
      <c r="B16" s="4" t="s">
        <v>294</v>
      </c>
      <c r="C16" s="4" t="s">
        <v>295</v>
      </c>
    </row>
    <row r="17" customFormat="false" ht="15" hidden="false" customHeight="false" outlineLevel="0" collapsed="false">
      <c r="A17" s="6" t="s">
        <v>296</v>
      </c>
      <c r="B17" s="17" t="n">
        <f aca="false">Report!$B$63</f>
        <v>31.1502083450687</v>
      </c>
      <c r="C17" s="19" t="n">
        <f aca="false">r_fit_pct</f>
        <v>60.5777244041105</v>
      </c>
    </row>
    <row r="18" customFormat="false" ht="15" hidden="false" customHeight="false" outlineLevel="0" collapsed="false">
      <c r="A18" s="6" t="s">
        <v>297</v>
      </c>
      <c r="B18" s="17" t="n">
        <f aca="false">INDEX(t_friend_vals,MATCH(m_sex&amp;"|treadmill|"&amp;MIN(80,MAX(20,INT(m_age/10)*10)),t_friend_keys,0),5)</f>
        <v>28.3</v>
      </c>
      <c r="C18" s="6" t="n">
        <v>50</v>
      </c>
    </row>
    <row r="19" customFormat="false" ht="15" hidden="false" customHeight="false" outlineLevel="0" collapsed="false">
      <c r="A19" s="6" t="s">
        <v>298</v>
      </c>
      <c r="B19" s="17" t="n">
        <f aca="false">INDEX(t_friend_vals,MATCH(m_sex&amp;"|treadmill|"&amp;MIN(80,MAX(20,INT(m_age/10)*10)),t_friend_keys,0),7)</f>
        <v>33.6</v>
      </c>
      <c r="C19" s="6" t="n">
        <v>70</v>
      </c>
    </row>
    <row r="20" customFormat="false" ht="15" hidden="false" customHeight="false" outlineLevel="0" collapsed="false">
      <c r="A20" s="6" t="s">
        <v>299</v>
      </c>
      <c r="B20" s="17" t="n">
        <f aca="false">INDEX(t_friend_vals,MATCH(m_sex&amp;"|treadmill|"&amp;MIN(80,MAX(20,INT(m_age/10)*10)),t_friend_keys,0),9)</f>
        <v>42.1</v>
      </c>
      <c r="C20" s="6" t="n">
        <v>90</v>
      </c>
    </row>
    <row r="21" customFormat="false" ht="15" hidden="false" customHeight="false" outlineLevel="0" collapsed="false">
      <c r="A21" s="12" t="s">
        <v>300</v>
      </c>
      <c r="B21" s="6" t="str">
        <f aca="false">"No test yet? The Rockport 1-mile walk is the safest start; a timed 5 km or a Cooper 12-minute run once running is comfortable."</f>
        <v>No test yet? The Rockport 1-mile walk is the safest start; a timed 5 km or a Cooper 12-minute run once running is comfortable.</v>
      </c>
    </row>
    <row r="22" customFormat="false" ht="15" hidden="false" customHeight="false" outlineLevel="0" collapsed="false">
      <c r="A22" s="12" t="s">
        <v>301</v>
      </c>
      <c r="B22" s="6" t="str">
        <f aca="false">"150-300 min a week moderate, or 75-150 vigorous (WHO 2020). Also adds to the calorie deficit."</f>
        <v>150-300 min a week moderate, or 75-150 vigorous (WHO 2020). Also adds to the calorie deficit.</v>
      </c>
    </row>
    <row r="23" customFormat="false" ht="15" hidden="false" customHeight="false" outlineLevel="0" collapsed="false">
      <c r="A23" s="12" t="s">
        <v>302</v>
      </c>
      <c r="B23" s="6" t="str">
        <f aca="false">"Once a base is built, one or two interval sessions a week (e.g. 4 x 4 min hard, 3 min easy) raise VO2max faster than steady work alone (Helgerud et al. 2007)."</f>
        <v>Once a base is built, one or two interval sessions a week (e.g. 4 x 4 min hard, 3 min easy) raise VO2max faster than steady work alone (Helgerud et al. 2007).</v>
      </c>
    </row>
    <row r="24" customFormat="false" ht="15" hidden="false" customHeight="false" outlineLevel="0" collapsed="false">
      <c r="A24" s="12" t="s">
        <v>303</v>
      </c>
      <c r="B24" s="6" t="str">
        <f aca="false">"Anything counts for training, including the elliptical; only the test needs a standard mode."</f>
        <v>Anything counts for training, including the elliptical; only the test needs a standard mode.</v>
      </c>
    </row>
    <row r="26" customFormat="false" ht="16.15" hidden="false" customHeight="false" outlineLevel="0" collapsed="false">
      <c r="A26" s="11" t="s">
        <v>304</v>
      </c>
    </row>
    <row r="27" customFormat="false" ht="15" hidden="false" customHeight="false" outlineLevel="0" collapsed="false">
      <c r="A27" s="7" t="s">
        <v>305</v>
      </c>
    </row>
    <row r="28" customFormat="false" ht="15" hidden="false" customHeight="false" outlineLevel="0" collapsed="false">
      <c r="A28" s="4" t="s">
        <v>306</v>
      </c>
      <c r="B28" s="4" t="s">
        <v>307</v>
      </c>
      <c r="C28" s="4" t="s">
        <v>308</v>
      </c>
      <c r="D28" s="4" t="s">
        <v>309</v>
      </c>
      <c r="E28" s="4" t="s">
        <v>310</v>
      </c>
    </row>
    <row r="29" customFormat="false" ht="15" hidden="false" customHeight="false" outlineLevel="0" collapsed="false">
      <c r="A29" s="6" t="s">
        <v>311</v>
      </c>
      <c r="B29" s="6" t="str">
        <f aca="false">INDEX(Strength!$D$33:$D$37,MATCH(A29,s_cat_names,0))</f>
        <v>Back squat</v>
      </c>
      <c r="C29" s="20" t="n">
        <f aca="false">INDEX(Strength!$E$33:$E$37,MATCH(A29,s_cat_names,0))</f>
        <v>-0.108952354427573</v>
      </c>
      <c r="D29" s="6" t="str">
        <f aca="false">INDEX(s_cat_class,MATCH(A29,s_cat_names,0))</f>
        <v>weak</v>
      </c>
      <c r="E29" s="6" t="str">
        <f aca="false">IF(D29="weak","hard",IF(D29="strong","maintenance",IF(D29="","","medium")))</f>
        <v>hard</v>
      </c>
    </row>
    <row r="30" customFormat="false" ht="15" hidden="false" customHeight="false" outlineLevel="0" collapsed="false">
      <c r="A30" s="6" t="s">
        <v>312</v>
      </c>
      <c r="B30" s="6" t="str">
        <f aca="false">INDEX(Strength!$D$33:$D$37,MATCH(A30,s_cat_names,0))</f>
        <v>Deadlift</v>
      </c>
      <c r="C30" s="20" t="n">
        <f aca="false">INDEX(Strength!$E$33:$E$37,MATCH(A30,s_cat_names,0))</f>
        <v>0.047872031193174</v>
      </c>
      <c r="D30" s="6" t="str">
        <f aca="false">INDEX(s_cat_class,MATCH(A30,s_cat_names,0))</f>
        <v>in line</v>
      </c>
      <c r="E30" s="6" t="str">
        <f aca="false">IF(D30="weak","hard",IF(D30="strong","maintenance",IF(D30="","","medium")))</f>
        <v>medium</v>
      </c>
    </row>
    <row r="31" customFormat="false" ht="15" hidden="false" customHeight="false" outlineLevel="0" collapsed="false">
      <c r="A31" s="6" t="s">
        <v>313</v>
      </c>
      <c r="B31" s="6" t="str">
        <f aca="false">INDEX(Strength!$D$33:$D$37,MATCH(A31,s_cat_names,0))</f>
        <v>Bench press</v>
      </c>
      <c r="C31" s="20" t="n">
        <f aca="false">INDEX(Strength!$E$33:$E$37,MATCH(A31,s_cat_names,0))</f>
        <v>-0.146470150030622</v>
      </c>
      <c r="D31" s="6" t="str">
        <f aca="false">INDEX(s_cat_class,MATCH(A31,s_cat_names,0))</f>
        <v>weak</v>
      </c>
      <c r="E31" s="6" t="str">
        <f aca="false">IF(D31="weak","hard",IF(D31="strong","maintenance",IF(D31="","","medium")))</f>
        <v>hard</v>
      </c>
    </row>
    <row r="32" customFormat="false" ht="15" hidden="false" customHeight="false" outlineLevel="0" collapsed="false">
      <c r="A32" s="6" t="s">
        <v>314</v>
      </c>
      <c r="B32" s="6" t="str">
        <f aca="false">INDEX(Strength!$D$33:$D$37,MATCH(A32,s_cat_names,0))</f>
        <v>Overhead press</v>
      </c>
      <c r="C32" s="20" t="n">
        <f aca="false">INDEX(Strength!$E$33:$E$37,MATCH(A32,s_cat_names,0))</f>
        <v>0.123843877298557</v>
      </c>
      <c r="D32" s="6" t="str">
        <f aca="false">INDEX(s_cat_class,MATCH(A32,s_cat_names,0))</f>
        <v>strong</v>
      </c>
      <c r="E32" s="6" t="str">
        <f aca="false">IF(D32="weak","hard",IF(D32="strong","maintenance",IF(D32="","","medium")))</f>
        <v>maintenance</v>
      </c>
    </row>
    <row r="33" customFormat="false" ht="15" hidden="false" customHeight="false" outlineLevel="0" collapsed="false">
      <c r="A33" s="6" t="s">
        <v>315</v>
      </c>
      <c r="B33" s="6" t="str">
        <f aca="false">INDEX(Strength!$D$33:$D$37,MATCH(A33,s_cat_names,0))</f>
        <v>Chin-up</v>
      </c>
      <c r="C33" s="20" t="n">
        <f aca="false">INDEX(Strength!$E$33:$E$37,MATCH(A33,s_cat_names,0))</f>
        <v>0.0837065959664654</v>
      </c>
      <c r="D33" s="6" t="str">
        <f aca="false">INDEX(s_cat_class,MATCH(A33,s_cat_names,0))</f>
        <v>in line</v>
      </c>
      <c r="E33" s="6" t="str">
        <f aca="false">IF(D33="weak","hard",IF(D33="strong","maintenance",IF(D33="","","medium")))</f>
        <v>medium</v>
      </c>
    </row>
    <row r="35" customFormat="false" ht="16.15" hidden="false" customHeight="false" outlineLevel="0" collapsed="false">
      <c r="A35" s="11" t="s">
        <v>316</v>
      </c>
    </row>
    <row r="36" customFormat="false" ht="15" hidden="false" customHeight="false" outlineLevel="0" collapsed="false">
      <c r="A36" s="4" t="s">
        <v>317</v>
      </c>
      <c r="B36" s="4" t="s">
        <v>318</v>
      </c>
      <c r="C36" s="4" t="s">
        <v>319</v>
      </c>
      <c r="D36" s="4" t="s">
        <v>320</v>
      </c>
      <c r="E36" s="4" t="s">
        <v>321</v>
      </c>
    </row>
    <row r="37" customFormat="false" ht="15" hidden="false" customHeight="false" outlineLevel="0" collapsed="false">
      <c r="A37" s="6" t="s">
        <v>322</v>
      </c>
      <c r="B37" s="20" t="str">
        <f aca="false">IF(J37="","",IFERROR(INDEX(r_ratio_dev,MATCH(J37,r_ratio_keys,0)),""))</f>
        <v/>
      </c>
      <c r="C37" s="15" t="str">
        <f aca="false">INDEX(r_girth_att,MATCH("arm",r_girth_sites,0))</f>
        <v/>
      </c>
      <c r="D37" s="6" t="str">
        <f aca="false">IF(AND(NOT(ISNUMBER(B37)),NOT(ISNUMBER(C37))),"",IF(OR(AND(ISNUMBER(B37),B37&lt;p_size_hard_dev),AND(ISNUMBER(C37),C37&lt;p_size_hard_att)),"hard",IF(OR(AND(ISNUMBER(B37),B37&lt;p_size_med_dev),AND(ISNUMBER(C37),C37&lt;p_size_med_att)),"medium","maintenance")))</f>
        <v/>
      </c>
      <c r="E37" s="7" t="s">
        <v>323</v>
      </c>
      <c r="J37" s="6" t="str">
        <f aca="false">IF(m_sex="female","","arm_wrist")</f>
        <v/>
      </c>
    </row>
    <row r="38" customFormat="false" ht="15" hidden="false" customHeight="false" outlineLevel="0" collapsed="false">
      <c r="A38" s="6" t="s">
        <v>324</v>
      </c>
      <c r="B38" s="20" t="str">
        <f aca="false">IF(J38="","",IFERROR(INDEX(r_ratio_dev,MATCH(J38,r_ratio_keys,0)),""))</f>
        <v/>
      </c>
      <c r="C38" s="15" t="str">
        <f aca="false">INDEX(r_girth_att,MATCH("forearm",r_girth_sites,0))</f>
        <v/>
      </c>
      <c r="D38" s="6" t="str">
        <f aca="false">IF(AND(NOT(ISNUMBER(B38)),NOT(ISNUMBER(C38))),"",IF(OR(AND(ISNUMBER(B38),B38&lt;p_size_hard_dev),AND(ISNUMBER(C38),C38&lt;p_size_hard_att)),"hard",IF(OR(AND(ISNUMBER(B38),B38&lt;p_size_med_dev),AND(ISNUMBER(C38),C38&lt;p_size_med_att)),"medium","maintenance")))</f>
        <v/>
      </c>
      <c r="E38" s="7" t="s">
        <v>325</v>
      </c>
      <c r="J38" s="6" t="str">
        <f aca="false">IF(m_sex="female","","forearm_wrist")</f>
        <v/>
      </c>
    </row>
    <row r="39" customFormat="false" ht="15" hidden="false" customHeight="false" outlineLevel="0" collapsed="false">
      <c r="A39" s="6" t="s">
        <v>55</v>
      </c>
      <c r="B39" s="20" t="str">
        <f aca="false">IF(J39="","",IFERROR(INDEX(r_ratio_dev,MATCH(J39,r_ratio_keys,0)),""))</f>
        <v/>
      </c>
      <c r="C39" s="15" t="str">
        <f aca="false">INDEX(r_girth_att,MATCH("chest",r_girth_sites,0))</f>
        <v/>
      </c>
      <c r="D39" s="6" t="str">
        <f aca="false">IF(AND(NOT(ISNUMBER(B39)),NOT(ISNUMBER(C39))),"",IF(OR(AND(ISNUMBER(B39),B39&lt;p_size_hard_dev),AND(ISNUMBER(C39),C39&lt;p_size_hard_att)),"hard",IF(OR(AND(ISNUMBER(B39),B39&lt;p_size_med_dev),AND(ISNUMBER(C39),C39&lt;p_size_med_att)),"medium","maintenance")))</f>
        <v/>
      </c>
      <c r="E39" s="7" t="s">
        <v>326</v>
      </c>
      <c r="J39" s="6" t="str">
        <f aca="false">IF(m_sex="female","","chest_wrist")</f>
        <v/>
      </c>
    </row>
    <row r="40" customFormat="false" ht="15" hidden="false" customHeight="false" outlineLevel="0" collapsed="false">
      <c r="A40" s="6" t="s">
        <v>52</v>
      </c>
      <c r="B40" s="20" t="n">
        <f aca="false">IF(J40="","",IFERROR(INDEX(r_ratio_dev,MATCH(J40,r_ratio_keys,0)),""))</f>
        <v>0.02</v>
      </c>
      <c r="C40" s="6"/>
      <c r="D40" s="6" t="str">
        <f aca="false">IF(AND(NOT(ISNUMBER(B40)),NOT(ISNUMBER(C40))),"",IF(OR(AND(ISNUMBER(B40),B40&lt;p_size_hard_dev),AND(ISNUMBER(C40),C40&lt;p_size_hard_att)),"hard",IF(OR(AND(ISNUMBER(B40),B40&lt;p_size_med_dev),AND(ISNUMBER(C40),C40&lt;p_size_med_att)),"medium","maintenance")))</f>
        <v>maintenance</v>
      </c>
      <c r="E40" s="7" t="s">
        <v>327</v>
      </c>
      <c r="J40" s="6" t="str">
        <f aca="false">IF(m_sex="female","shoulders_hips","shoulders_chest")</f>
        <v>shoulders_hips</v>
      </c>
    </row>
    <row r="41" customFormat="false" ht="15" hidden="false" customHeight="false" outlineLevel="0" collapsed="false">
      <c r="A41" s="6" t="s">
        <v>328</v>
      </c>
      <c r="B41" s="20" t="str">
        <f aca="false">IF(J41="","",IFERROR(INDEX(r_ratio_dev,MATCH(J41,r_ratio_keys,0)),""))</f>
        <v/>
      </c>
      <c r="C41" s="15" t="str">
        <f aca="false">INDEX(r_girth_att,MATCH("thigh",r_girth_sites,0))</f>
        <v/>
      </c>
      <c r="D41" s="6" t="str">
        <f aca="false">IF(AND(NOT(ISNUMBER(B41)),NOT(ISNUMBER(C41))),"",IF(OR(AND(ISNUMBER(B41),B41&lt;p_size_hard_dev),AND(ISNUMBER(C41),C41&lt;p_size_hard_att)),"hard",IF(OR(AND(ISNUMBER(B41),B41&lt;p_size_med_dev),AND(ISNUMBER(C41),C41&lt;p_size_med_att)),"medium","maintenance")))</f>
        <v/>
      </c>
      <c r="E41" s="7" t="s">
        <v>329</v>
      </c>
      <c r="J41" s="6" t="str">
        <f aca="false">IF(m_sex="female","","thigh_knee")</f>
        <v/>
      </c>
    </row>
    <row r="42" customFormat="false" ht="15" hidden="false" customHeight="false" outlineLevel="0" collapsed="false">
      <c r="A42" s="6" t="s">
        <v>330</v>
      </c>
      <c r="B42" s="20" t="str">
        <f aca="false">IF(J42="","",IFERROR(INDEX(r_ratio_dev,MATCH(J42,r_ratio_keys,0)),""))</f>
        <v/>
      </c>
      <c r="C42" s="15" t="str">
        <f aca="false">INDEX(r_girth_att,MATCH("calf",r_girth_sites,0))</f>
        <v/>
      </c>
      <c r="D42" s="6" t="str">
        <f aca="false">IF(AND(NOT(ISNUMBER(B42)),NOT(ISNUMBER(C42))),"",IF(OR(AND(ISNUMBER(B42),B42&lt;p_size_hard_dev),AND(ISNUMBER(C42),C42&lt;p_size_hard_att)),"hard",IF(OR(AND(ISNUMBER(B42),B42&lt;p_size_med_dev),AND(ISNUMBER(C42),C42&lt;p_size_med_att)),"medium","maintenance")))</f>
        <v/>
      </c>
      <c r="E42" s="7" t="s">
        <v>331</v>
      </c>
      <c r="J42" s="6" t="str">
        <f aca="false">IF(m_sex="female","","calf_ankle")</f>
        <v/>
      </c>
    </row>
    <row r="43" customFormat="false" ht="15" hidden="false" customHeight="false" outlineLevel="0" collapsed="false">
      <c r="A43" s="6" t="s">
        <v>49</v>
      </c>
      <c r="B43" s="20" t="str">
        <f aca="false">IF(J43="","",IFERROR(INDEX(r_ratio_dev,MATCH(J43,r_ratio_keys,0)),""))</f>
        <v/>
      </c>
      <c r="C43" s="15" t="str">
        <f aca="false">INDEX(r_girth_att,MATCH("neck",r_girth_sites,0))</f>
        <v/>
      </c>
      <c r="D43" s="6" t="str">
        <f aca="false">IF(AND(NOT(ISNUMBER(B43)),NOT(ISNUMBER(C43))),"",IF(OR(AND(ISNUMBER(B43),B43&lt;p_size_hard_dev),AND(ISNUMBER(C43),C43&lt;p_size_hard_att)),"hard",IF(OR(AND(ISNUMBER(B43),B43&lt;p_size_med_dev),AND(ISNUMBER(C43),C43&lt;p_size_med_att)),"medium","maintenance")))</f>
        <v/>
      </c>
      <c r="E43" s="7" t="s">
        <v>332</v>
      </c>
      <c r="J43" s="6" t="str">
        <f aca="false">IF(m_sex="female","","neck_arm")</f>
        <v/>
      </c>
    </row>
    <row r="44" customFormat="false" ht="15" hidden="false" customHeight="false" outlineLevel="0" collapsed="false">
      <c r="A44" s="6" t="s">
        <v>64</v>
      </c>
      <c r="B44" s="20" t="n">
        <f aca="false">IF(J44="","",IFERROR(INDEX(r_ratio_dev,MATCH(J44,r_ratio_keys,0)),""))</f>
        <v>-0.0514905149051491</v>
      </c>
      <c r="C44" s="6"/>
      <c r="D44" s="6" t="str">
        <f aca="false">IF(AND(NOT(ISNUMBER(B44)),NOT(ISNUMBER(C44))),"",IF(OR(AND(ISNUMBER(B44),B44&lt;p_size_hard_dev),AND(ISNUMBER(C44),C44&lt;p_size_hard_att)),"hard",IF(OR(AND(ISNUMBER(B44),B44&lt;p_size_med_dev),AND(ISNUMBER(C44),C44&lt;p_size_med_att)),"medium","maintenance")))</f>
        <v>medium</v>
      </c>
      <c r="E44" s="7" t="s">
        <v>333</v>
      </c>
      <c r="J44" s="6" t="str">
        <f aca="false">IF(m_sex="female","hips_height","")</f>
        <v>hips_height</v>
      </c>
    </row>
    <row r="46" customFormat="false" ht="16.15" hidden="false" customHeight="false" outlineLevel="0" collapsed="false">
      <c r="A46" s="11" t="s">
        <v>334</v>
      </c>
    </row>
    <row r="47" customFormat="false" ht="15" hidden="false" customHeight="false" outlineLevel="0" collapsed="false">
      <c r="A47" s="4" t="s">
        <v>335</v>
      </c>
      <c r="B47" s="4" t="s">
        <v>336</v>
      </c>
      <c r="C47" s="4" t="s">
        <v>337</v>
      </c>
      <c r="D47" s="4" t="s">
        <v>338</v>
      </c>
      <c r="E47" s="4" t="s">
        <v>320</v>
      </c>
      <c r="F47" s="4" t="s">
        <v>310</v>
      </c>
      <c r="G47" s="4" t="s">
        <v>339</v>
      </c>
      <c r="H47" s="4" t="s">
        <v>340</v>
      </c>
    </row>
    <row r="48" customFormat="false" ht="15" hidden="false" customHeight="false" outlineLevel="0" collapsed="false">
      <c r="A48" s="6" t="s">
        <v>341</v>
      </c>
      <c r="B48" s="6" t="str">
        <f aca="false">INDEX(s_mg_class,MATCH(A48,s_mg_names,0))</f>
        <v>in line</v>
      </c>
      <c r="C48" s="6" t="str">
        <f aca="false">IF(B48="weak","hard",IF(B48="strong","maintenance",IF(B48="no data","","medium")))</f>
        <v>medium</v>
      </c>
      <c r="D48" s="6" t="str">
        <f aca="false">IF(m_sex="female","","")</f>
        <v/>
      </c>
      <c r="E48" s="6" t="str">
        <f aca="false">IF(D48="","",INDEX($D$37:$D$44,MATCH(D48,$A$37:$A$44,0)))</f>
        <v/>
      </c>
      <c r="F48" s="6" t="str">
        <f aca="false">CHOOSE(H48+1,"no data","maintenance","medium","hard")</f>
        <v>medium</v>
      </c>
      <c r="G48" s="6" t="str">
        <f aca="false">CHOOSE(H48+1,"",p_sets_maint_lo&amp;"-"&amp;p_sets_maint_hi,p_sets_med_lo&amp;"-"&amp;p_sets_med_hi,p_sets_hard_lo&amp;"-"&amp;p_sets_hard_hi)</f>
        <v>6-10</v>
      </c>
      <c r="H48" s="6" t="n">
        <f aca="false">MAX(IF(C48="hard",3,IF(C48="medium",2,IF(C48="maintenance",1,0))),IF(E48="hard",3,IF(E48="medium",2,IF(E48="maintenance",1,0))))</f>
        <v>2</v>
      </c>
    </row>
    <row r="49" customFormat="false" ht="15" hidden="false" customHeight="false" outlineLevel="0" collapsed="false">
      <c r="A49" s="6" t="s">
        <v>342</v>
      </c>
      <c r="B49" s="6" t="str">
        <f aca="false">INDEX(s_mg_class,MATCH(A49,s_mg_names,0))</f>
        <v>in line</v>
      </c>
      <c r="C49" s="6" t="str">
        <f aca="false">IF(B49="weak","hard",IF(B49="strong","maintenance",IF(B49="no data","","medium")))</f>
        <v>medium</v>
      </c>
      <c r="D49" s="6" t="str">
        <f aca="false">IF(m_sex="female","","")</f>
        <v/>
      </c>
      <c r="E49" s="6" t="str">
        <f aca="false">IF(D49="","",INDEX($D$37:$D$44,MATCH(D49,$A$37:$A$44,0)))</f>
        <v/>
      </c>
      <c r="F49" s="6" t="str">
        <f aca="false">CHOOSE(H49+1,"no data","maintenance","medium","hard")</f>
        <v>medium</v>
      </c>
      <c r="G49" s="6" t="str">
        <f aca="false">CHOOSE(H49+1,"",p_sets_maint_lo&amp;"-"&amp;p_sets_maint_hi,p_sets_med_lo&amp;"-"&amp;p_sets_med_hi,p_sets_hard_lo&amp;"-"&amp;p_sets_hard_hi)</f>
        <v>6-10</v>
      </c>
      <c r="H49" s="6" t="n">
        <f aca="false">MAX(IF(C49="hard",3,IF(C49="medium",2,IF(C49="maintenance",1,0))),IF(E49="hard",3,IF(E49="medium",2,IF(E49="maintenance",1,0))))</f>
        <v>2</v>
      </c>
    </row>
    <row r="50" customFormat="false" ht="15" hidden="false" customHeight="false" outlineLevel="0" collapsed="false">
      <c r="A50" s="6" t="s">
        <v>343</v>
      </c>
      <c r="B50" s="6" t="str">
        <f aca="false">INDEX(s_mg_class,MATCH(A50,s_mg_names,0))</f>
        <v>no data</v>
      </c>
      <c r="C50" s="6" t="str">
        <f aca="false">IF(B50="weak","hard",IF(B50="strong","maintenance",IF(B50="no data","","medium")))</f>
        <v/>
      </c>
      <c r="D50" s="6" t="str">
        <f aca="false">IF(m_sex="female","","")</f>
        <v/>
      </c>
      <c r="E50" s="6" t="str">
        <f aca="false">IF(D50="","",INDEX($D$37:$D$44,MATCH(D50,$A$37:$A$44,0)))</f>
        <v/>
      </c>
      <c r="F50" s="6" t="str">
        <f aca="false">CHOOSE(H50+1,"no data","maintenance","medium","hard")</f>
        <v>no data</v>
      </c>
      <c r="G50" s="6" t="str">
        <f aca="false">CHOOSE(H50+1,"",p_sets_maint_lo&amp;"-"&amp;p_sets_maint_hi,p_sets_med_lo&amp;"-"&amp;p_sets_med_hi,p_sets_hard_lo&amp;"-"&amp;p_sets_hard_hi)</f>
        <v/>
      </c>
      <c r="H50" s="6" t="n">
        <f aca="false">MAX(IF(C50="hard",3,IF(C50="medium",2,IF(C50="maintenance",1,0))),IF(E50="hard",3,IF(E50="medium",2,IF(E50="maintenance",1,0))))</f>
        <v>0</v>
      </c>
    </row>
    <row r="51" customFormat="false" ht="15" hidden="false" customHeight="false" outlineLevel="0" collapsed="false">
      <c r="A51" s="6" t="s">
        <v>344</v>
      </c>
      <c r="B51" s="6" t="str">
        <f aca="false">INDEX(s_mg_class,MATCH(A51,s_mg_names,0))</f>
        <v>mixed</v>
      </c>
      <c r="C51" s="6" t="str">
        <f aca="false">IF(B51="weak","hard",IF(B51="strong","maintenance",IF(B51="no data","","medium")))</f>
        <v>medium</v>
      </c>
      <c r="D51" s="6" t="str">
        <f aca="false">IF(m_sex="female","shoulders","shoulders")</f>
        <v>shoulders</v>
      </c>
      <c r="E51" s="6" t="str">
        <f aca="false">IF(D51="","",INDEX($D$37:$D$44,MATCH(D51,$A$37:$A$44,0)))</f>
        <v>maintenance</v>
      </c>
      <c r="F51" s="6" t="str">
        <f aca="false">CHOOSE(H51+1,"no data","maintenance","medium","hard")</f>
        <v>medium</v>
      </c>
      <c r="G51" s="6" t="str">
        <f aca="false">CHOOSE(H51+1,"",p_sets_maint_lo&amp;"-"&amp;p_sets_maint_hi,p_sets_med_lo&amp;"-"&amp;p_sets_med_hi,p_sets_hard_lo&amp;"-"&amp;p_sets_hard_hi)</f>
        <v>6-10</v>
      </c>
      <c r="H51" s="6" t="n">
        <f aca="false">MAX(IF(C51="hard",3,IF(C51="medium",2,IF(C51="maintenance",1,0))),IF(E51="hard",3,IF(E51="medium",2,IF(E51="maintenance",1,0))))</f>
        <v>2</v>
      </c>
    </row>
    <row r="52" customFormat="false" ht="15" hidden="false" customHeight="false" outlineLevel="0" collapsed="false">
      <c r="A52" s="6" t="s">
        <v>345</v>
      </c>
      <c r="B52" s="6" t="str">
        <f aca="false">INDEX(s_mg_class,MATCH(A52,s_mg_names,0))</f>
        <v>strong</v>
      </c>
      <c r="C52" s="6" t="str">
        <f aca="false">IF(B52="weak","hard",IF(B52="strong","maintenance",IF(B52="no data","","medium")))</f>
        <v>maintenance</v>
      </c>
      <c r="D52" s="6" t="str">
        <f aca="false">IF(m_sex="female","shoulders","shoulders")</f>
        <v>shoulders</v>
      </c>
      <c r="E52" s="6" t="str">
        <f aca="false">IF(D52="","",INDEX($D$37:$D$44,MATCH(D52,$A$37:$A$44,0)))</f>
        <v>maintenance</v>
      </c>
      <c r="F52" s="6" t="str">
        <f aca="false">CHOOSE(H52+1,"no data","maintenance","medium","hard")</f>
        <v>maintenance</v>
      </c>
      <c r="G52" s="6" t="str">
        <f aca="false">CHOOSE(H52+1,"",p_sets_maint_lo&amp;"-"&amp;p_sets_maint_hi,p_sets_med_lo&amp;"-"&amp;p_sets_med_hi,p_sets_hard_lo&amp;"-"&amp;p_sets_hard_hi)</f>
        <v>3-5</v>
      </c>
      <c r="H52" s="6" t="n">
        <f aca="false">MAX(IF(C52="hard",3,IF(C52="medium",2,IF(C52="maintenance",1,0))),IF(E52="hard",3,IF(E52="medium",2,IF(E52="maintenance",1,0))))</f>
        <v>1</v>
      </c>
    </row>
    <row r="53" customFormat="false" ht="15" hidden="false" customHeight="false" outlineLevel="0" collapsed="false">
      <c r="A53" s="6" t="s">
        <v>346</v>
      </c>
      <c r="B53" s="6" t="str">
        <f aca="false">INDEX(s_mg_class,MATCH(A53,s_mg_names,0))</f>
        <v>in line</v>
      </c>
      <c r="C53" s="6" t="str">
        <f aca="false">IF(B53="weak","hard",IF(B53="strong","maintenance",IF(B53="no data","","medium")))</f>
        <v>medium</v>
      </c>
      <c r="D53" s="6" t="str">
        <f aca="false">IF(m_sex="female","shoulders","shoulders")</f>
        <v>shoulders</v>
      </c>
      <c r="E53" s="6" t="str">
        <f aca="false">IF(D53="","",INDEX($D$37:$D$44,MATCH(D53,$A$37:$A$44,0)))</f>
        <v>maintenance</v>
      </c>
      <c r="F53" s="6" t="str">
        <f aca="false">CHOOSE(H53+1,"no data","maintenance","medium","hard")</f>
        <v>medium</v>
      </c>
      <c r="G53" s="6" t="str">
        <f aca="false">CHOOSE(H53+1,"",p_sets_maint_lo&amp;"-"&amp;p_sets_maint_hi,p_sets_med_lo&amp;"-"&amp;p_sets_med_hi,p_sets_hard_lo&amp;"-"&amp;p_sets_hard_hi)</f>
        <v>6-10</v>
      </c>
      <c r="H53" s="6" t="n">
        <f aca="false">MAX(IF(C53="hard",3,IF(C53="medium",2,IF(C53="maintenance",1,0))),IF(E53="hard",3,IF(E53="medium",2,IF(E53="maintenance",1,0))))</f>
        <v>2</v>
      </c>
    </row>
    <row r="54" customFormat="false" ht="15" hidden="false" customHeight="false" outlineLevel="0" collapsed="false">
      <c r="A54" s="6" t="s">
        <v>347</v>
      </c>
      <c r="B54" s="6" t="str">
        <f aca="false">INDEX(s_mg_class,MATCH(A54,s_mg_names,0))</f>
        <v>weak</v>
      </c>
      <c r="C54" s="6" t="str">
        <f aca="false">IF(B54="weak","hard",IF(B54="strong","maintenance",IF(B54="no data","","medium")))</f>
        <v>hard</v>
      </c>
      <c r="D54" s="6" t="str">
        <f aca="false">IF(m_sex="female","","chest")</f>
        <v/>
      </c>
      <c r="E54" s="6" t="str">
        <f aca="false">IF(D54="","",INDEX($D$37:$D$44,MATCH(D54,$A$37:$A$44,0)))</f>
        <v/>
      </c>
      <c r="F54" s="6" t="str">
        <f aca="false">CHOOSE(H54+1,"no data","maintenance","medium","hard")</f>
        <v>hard</v>
      </c>
      <c r="G54" s="6" t="str">
        <f aca="false">CHOOSE(H54+1,"",p_sets_maint_lo&amp;"-"&amp;p_sets_maint_hi,p_sets_med_lo&amp;"-"&amp;p_sets_med_hi,p_sets_hard_lo&amp;"-"&amp;p_sets_hard_hi)</f>
        <v>12-20</v>
      </c>
      <c r="H54" s="6" t="n">
        <f aca="false">MAX(IF(C54="hard",3,IF(C54="medium",2,IF(C54="maintenance",1,0))),IF(E54="hard",3,IF(E54="medium",2,IF(E54="maintenance",1,0))))</f>
        <v>3</v>
      </c>
    </row>
    <row r="55" customFormat="false" ht="15" hidden="false" customHeight="false" outlineLevel="0" collapsed="false">
      <c r="A55" s="6" t="s">
        <v>348</v>
      </c>
      <c r="B55" s="6" t="str">
        <f aca="false">INDEX(s_mg_class,MATCH(A55,s_mg_names,0))</f>
        <v>in line</v>
      </c>
      <c r="C55" s="6" t="str">
        <f aca="false">IF(B55="weak","hard",IF(B55="strong","maintenance",IF(B55="no data","","medium")))</f>
        <v>medium</v>
      </c>
      <c r="D55" s="6" t="str">
        <f aca="false">IF(m_sex="female","","arm")</f>
        <v/>
      </c>
      <c r="E55" s="6" t="str">
        <f aca="false">IF(D55="","",INDEX($D$37:$D$44,MATCH(D55,$A$37:$A$44,0)))</f>
        <v/>
      </c>
      <c r="F55" s="6" t="str">
        <f aca="false">CHOOSE(H55+1,"no data","maintenance","medium","hard")</f>
        <v>medium</v>
      </c>
      <c r="G55" s="6" t="str">
        <f aca="false">CHOOSE(H55+1,"",p_sets_maint_lo&amp;"-"&amp;p_sets_maint_hi,p_sets_med_lo&amp;"-"&amp;p_sets_med_hi,p_sets_hard_lo&amp;"-"&amp;p_sets_hard_hi)</f>
        <v>6-10</v>
      </c>
      <c r="H55" s="6" t="n">
        <f aca="false">MAX(IF(C55="hard",3,IF(C55="medium",2,IF(C55="maintenance",1,0))),IF(E55="hard",3,IF(E55="medium",2,IF(E55="maintenance",1,0))))</f>
        <v>2</v>
      </c>
    </row>
    <row r="56" customFormat="false" ht="15" hidden="false" customHeight="false" outlineLevel="0" collapsed="false">
      <c r="A56" s="6" t="s">
        <v>349</v>
      </c>
      <c r="B56" s="6" t="str">
        <f aca="false">INDEX(s_mg_class,MATCH(A56,s_mg_names,0))</f>
        <v>mixed</v>
      </c>
      <c r="C56" s="6" t="str">
        <f aca="false">IF(B56="weak","hard",IF(B56="strong","maintenance",IF(B56="no data","","medium")))</f>
        <v>medium</v>
      </c>
      <c r="D56" s="6" t="str">
        <f aca="false">IF(m_sex="female","","arm")</f>
        <v/>
      </c>
      <c r="E56" s="6" t="str">
        <f aca="false">IF(D56="","",INDEX($D$37:$D$44,MATCH(D56,$A$37:$A$44,0)))</f>
        <v/>
      </c>
      <c r="F56" s="6" t="str">
        <f aca="false">CHOOSE(H56+1,"no data","maintenance","medium","hard")</f>
        <v>medium</v>
      </c>
      <c r="G56" s="6" t="str">
        <f aca="false">CHOOSE(H56+1,"",p_sets_maint_lo&amp;"-"&amp;p_sets_maint_hi,p_sets_med_lo&amp;"-"&amp;p_sets_med_hi,p_sets_hard_lo&amp;"-"&amp;p_sets_hard_hi)</f>
        <v>6-10</v>
      </c>
      <c r="H56" s="6" t="n">
        <f aca="false">MAX(IF(C56="hard",3,IF(C56="medium",2,IF(C56="maintenance",1,0))),IF(E56="hard",3,IF(E56="medium",2,IF(E56="maintenance",1,0))))</f>
        <v>2</v>
      </c>
    </row>
    <row r="57" customFormat="false" ht="15" hidden="false" customHeight="false" outlineLevel="0" collapsed="false">
      <c r="A57" s="6" t="s">
        <v>350</v>
      </c>
      <c r="B57" s="6" t="str">
        <f aca="false">INDEX(s_mg_class,MATCH(A57,s_mg_names,0))</f>
        <v>in line</v>
      </c>
      <c r="C57" s="6" t="str">
        <f aca="false">IF(B57="weak","hard",IF(B57="strong","maintenance",IF(B57="no data","","medium")))</f>
        <v>medium</v>
      </c>
      <c r="D57" s="6" t="str">
        <f aca="false">IF(m_sex="female","","forearm")</f>
        <v/>
      </c>
      <c r="E57" s="6" t="str">
        <f aca="false">IF(D57="","",INDEX($D$37:$D$44,MATCH(D57,$A$37:$A$44,0)))</f>
        <v/>
      </c>
      <c r="F57" s="6" t="str">
        <f aca="false">CHOOSE(H57+1,"no data","maintenance","medium","hard")</f>
        <v>medium</v>
      </c>
      <c r="G57" s="6" t="str">
        <f aca="false">CHOOSE(H57+1,"",p_sets_maint_lo&amp;"-"&amp;p_sets_maint_hi,p_sets_med_lo&amp;"-"&amp;p_sets_med_hi,p_sets_hard_lo&amp;"-"&amp;p_sets_hard_hi)</f>
        <v>6-10</v>
      </c>
      <c r="H57" s="6" t="n">
        <f aca="false">MAX(IF(C57="hard",3,IF(C57="medium",2,IF(C57="maintenance",1,0))),IF(E57="hard",3,IF(E57="medium",2,IF(E57="maintenance",1,0))))</f>
        <v>2</v>
      </c>
    </row>
    <row r="58" customFormat="false" ht="15" hidden="false" customHeight="false" outlineLevel="0" collapsed="false">
      <c r="A58" s="6" t="s">
        <v>351</v>
      </c>
      <c r="B58" s="6" t="str">
        <f aca="false">INDEX(s_mg_class,MATCH(A58,s_mg_names,0))</f>
        <v>in line</v>
      </c>
      <c r="C58" s="6" t="str">
        <f aca="false">IF(B58="weak","hard",IF(B58="strong","maintenance",IF(B58="no data","","medium")))</f>
        <v>medium</v>
      </c>
      <c r="D58" s="6" t="str">
        <f aca="false">IF(m_sex="female","","")</f>
        <v/>
      </c>
      <c r="E58" s="6" t="str">
        <f aca="false">IF(D58="","",INDEX($D$37:$D$44,MATCH(D58,$A$37:$A$44,0)))</f>
        <v/>
      </c>
      <c r="F58" s="6" t="str">
        <f aca="false">CHOOSE(H58+1,"no data","maintenance","medium","hard")</f>
        <v>medium</v>
      </c>
      <c r="G58" s="6" t="str">
        <f aca="false">CHOOSE(H58+1,"",p_sets_maint_lo&amp;"-"&amp;p_sets_maint_hi,p_sets_med_lo&amp;"-"&amp;p_sets_med_hi,p_sets_hard_lo&amp;"-"&amp;p_sets_hard_hi)</f>
        <v>6-10</v>
      </c>
      <c r="H58" s="6" t="n">
        <f aca="false">MAX(IF(C58="hard",3,IF(C58="medium",2,IF(C58="maintenance",1,0))),IF(E58="hard",3,IF(E58="medium",2,IF(E58="maintenance",1,0))))</f>
        <v>2</v>
      </c>
    </row>
    <row r="59" customFormat="false" ht="15" hidden="false" customHeight="false" outlineLevel="0" collapsed="false">
      <c r="A59" s="6" t="s">
        <v>352</v>
      </c>
      <c r="B59" s="6" t="str">
        <f aca="false">INDEX(s_mg_class,MATCH(A59,s_mg_names,0))</f>
        <v>mixed</v>
      </c>
      <c r="C59" s="6" t="str">
        <f aca="false">IF(B59="weak","hard",IF(B59="strong","maintenance",IF(B59="no data","","medium")))</f>
        <v>medium</v>
      </c>
      <c r="D59" s="6" t="str">
        <f aca="false">IF(m_sex="female","","")</f>
        <v/>
      </c>
      <c r="E59" s="6" t="str">
        <f aca="false">IF(D59="","",INDEX($D$37:$D$44,MATCH(D59,$A$37:$A$44,0)))</f>
        <v/>
      </c>
      <c r="F59" s="6" t="str">
        <f aca="false">CHOOSE(H59+1,"no data","maintenance","medium","hard")</f>
        <v>medium</v>
      </c>
      <c r="G59" s="6" t="str">
        <f aca="false">CHOOSE(H59+1,"",p_sets_maint_lo&amp;"-"&amp;p_sets_maint_hi,p_sets_med_lo&amp;"-"&amp;p_sets_med_hi,p_sets_hard_lo&amp;"-"&amp;p_sets_hard_hi)</f>
        <v>6-10</v>
      </c>
      <c r="H59" s="6" t="n">
        <f aca="false">MAX(IF(C59="hard",3,IF(C59="medium",2,IF(C59="maintenance",1,0))),IF(E59="hard",3,IF(E59="medium",2,IF(E59="maintenance",1,0))))</f>
        <v>2</v>
      </c>
    </row>
    <row r="60" customFormat="false" ht="15" hidden="false" customHeight="false" outlineLevel="0" collapsed="false">
      <c r="A60" s="6" t="s">
        <v>353</v>
      </c>
      <c r="B60" s="6" t="str">
        <f aca="false">INDEX(s_mg_class,MATCH(A60,s_mg_names,0))</f>
        <v>in line</v>
      </c>
      <c r="C60" s="6" t="str">
        <f aca="false">IF(B60="weak","hard",IF(B60="strong","maintenance",IF(B60="no data","","medium")))</f>
        <v>medium</v>
      </c>
      <c r="D60" s="6" t="str">
        <f aca="false">IF(m_sex="female","","")</f>
        <v/>
      </c>
      <c r="E60" s="6" t="str">
        <f aca="false">IF(D60="","",INDEX($D$37:$D$44,MATCH(D60,$A$37:$A$44,0)))</f>
        <v/>
      </c>
      <c r="F60" s="6" t="str">
        <f aca="false">CHOOSE(H60+1,"no data","maintenance","medium","hard")</f>
        <v>medium</v>
      </c>
      <c r="G60" s="6" t="str">
        <f aca="false">CHOOSE(H60+1,"",p_sets_maint_lo&amp;"-"&amp;p_sets_maint_hi,p_sets_med_lo&amp;"-"&amp;p_sets_med_hi,p_sets_hard_lo&amp;"-"&amp;p_sets_hard_hi)</f>
        <v>6-10</v>
      </c>
      <c r="H60" s="6" t="n">
        <f aca="false">MAX(IF(C60="hard",3,IF(C60="medium",2,IF(C60="maintenance",1,0))),IF(E60="hard",3,IF(E60="medium",2,IF(E60="maintenance",1,0))))</f>
        <v>2</v>
      </c>
    </row>
    <row r="61" customFormat="false" ht="15" hidden="false" customHeight="false" outlineLevel="0" collapsed="false">
      <c r="A61" s="6" t="s">
        <v>354</v>
      </c>
      <c r="B61" s="6" t="str">
        <f aca="false">INDEX(s_mg_class,MATCH(A61,s_mg_names,0))</f>
        <v>mixed</v>
      </c>
      <c r="C61" s="6" t="str">
        <f aca="false">IF(B61="weak","hard",IF(B61="strong","maintenance",IF(B61="no data","","medium")))</f>
        <v>medium</v>
      </c>
      <c r="D61" s="6" t="str">
        <f aca="false">IF(m_sex="female","","")</f>
        <v/>
      </c>
      <c r="E61" s="6" t="str">
        <f aca="false">IF(D61="","",INDEX($D$37:$D$44,MATCH(D61,$A$37:$A$44,0)))</f>
        <v/>
      </c>
      <c r="F61" s="6" t="str">
        <f aca="false">CHOOSE(H61+1,"no data","maintenance","medium","hard")</f>
        <v>medium</v>
      </c>
      <c r="G61" s="6" t="str">
        <f aca="false">CHOOSE(H61+1,"",p_sets_maint_lo&amp;"-"&amp;p_sets_maint_hi,p_sets_med_lo&amp;"-"&amp;p_sets_med_hi,p_sets_hard_lo&amp;"-"&amp;p_sets_hard_hi)</f>
        <v>6-10</v>
      </c>
      <c r="H61" s="6" t="n">
        <f aca="false">MAX(IF(C61="hard",3,IF(C61="medium",2,IF(C61="maintenance",1,0))),IF(E61="hard",3,IF(E61="medium",2,IF(E61="maintenance",1,0))))</f>
        <v>2</v>
      </c>
    </row>
    <row r="62" customFormat="false" ht="15" hidden="false" customHeight="false" outlineLevel="0" collapsed="false">
      <c r="A62" s="6" t="s">
        <v>355</v>
      </c>
      <c r="B62" s="6" t="str">
        <f aca="false">INDEX(s_mg_class,MATCH(A62,s_mg_names,0))</f>
        <v>mixed</v>
      </c>
      <c r="C62" s="6" t="str">
        <f aca="false">IF(B62="weak","hard",IF(B62="strong","maintenance",IF(B62="no data","","medium")))</f>
        <v>medium</v>
      </c>
      <c r="D62" s="6" t="str">
        <f aca="false">IF(m_sex="female","hips","thigh")</f>
        <v>hips</v>
      </c>
      <c r="E62" s="6" t="str">
        <f aca="false">IF(D62="","",INDEX($D$37:$D$44,MATCH(D62,$A$37:$A$44,0)))</f>
        <v>medium</v>
      </c>
      <c r="F62" s="6" t="str">
        <f aca="false">CHOOSE(H62+1,"no data","maintenance","medium","hard")</f>
        <v>medium</v>
      </c>
      <c r="G62" s="6" t="str">
        <f aca="false">CHOOSE(H62+1,"",p_sets_maint_lo&amp;"-"&amp;p_sets_maint_hi,p_sets_med_lo&amp;"-"&amp;p_sets_med_hi,p_sets_hard_lo&amp;"-"&amp;p_sets_hard_hi)</f>
        <v>6-10</v>
      </c>
      <c r="H62" s="6" t="n">
        <f aca="false">MAX(IF(C62="hard",3,IF(C62="medium",2,IF(C62="maintenance",1,0))),IF(E62="hard",3,IF(E62="medium",2,IF(E62="maintenance",1,0))))</f>
        <v>2</v>
      </c>
    </row>
    <row r="63" customFormat="false" ht="15" hidden="false" customHeight="false" outlineLevel="0" collapsed="false">
      <c r="A63" s="6" t="s">
        <v>356</v>
      </c>
      <c r="B63" s="6" t="str">
        <f aca="false">INDEX(s_mg_class,MATCH(A63,s_mg_names,0))</f>
        <v>mixed</v>
      </c>
      <c r="C63" s="6" t="str">
        <f aca="false">IF(B63="weak","hard",IF(B63="strong","maintenance",IF(B63="no data","","medium")))</f>
        <v>medium</v>
      </c>
      <c r="D63" s="6" t="str">
        <f aca="false">IF(m_sex="female","","thigh")</f>
        <v/>
      </c>
      <c r="E63" s="6" t="str">
        <f aca="false">IF(D63="","",INDEX($D$37:$D$44,MATCH(D63,$A$37:$A$44,0)))</f>
        <v/>
      </c>
      <c r="F63" s="6" t="str">
        <f aca="false">CHOOSE(H63+1,"no data","maintenance","medium","hard")</f>
        <v>medium</v>
      </c>
      <c r="G63" s="6" t="str">
        <f aca="false">CHOOSE(H63+1,"",p_sets_maint_lo&amp;"-"&amp;p_sets_maint_hi,p_sets_med_lo&amp;"-"&amp;p_sets_med_hi,p_sets_hard_lo&amp;"-"&amp;p_sets_hard_hi)</f>
        <v>6-10</v>
      </c>
      <c r="H63" s="6" t="n">
        <f aca="false">MAX(IF(C63="hard",3,IF(C63="medium",2,IF(C63="maintenance",1,0))),IF(E63="hard",3,IF(E63="medium",2,IF(E63="maintenance",1,0))))</f>
        <v>2</v>
      </c>
    </row>
    <row r="64" customFormat="false" ht="15" hidden="false" customHeight="false" outlineLevel="0" collapsed="false">
      <c r="A64" s="6" t="s">
        <v>357</v>
      </c>
      <c r="B64" s="6" t="str">
        <f aca="false">INDEX(s_mg_class,MATCH(A64,s_mg_names,0))</f>
        <v>mixed</v>
      </c>
      <c r="C64" s="6" t="str">
        <f aca="false">IF(B64="weak","hard",IF(B64="strong","maintenance",IF(B64="no data","","medium")))</f>
        <v>medium</v>
      </c>
      <c r="D64" s="6" t="str">
        <f aca="false">IF(m_sex="female","","thigh")</f>
        <v/>
      </c>
      <c r="E64" s="6" t="str">
        <f aca="false">IF(D64="","",INDEX($D$37:$D$44,MATCH(D64,$A$37:$A$44,0)))</f>
        <v/>
      </c>
      <c r="F64" s="6" t="str">
        <f aca="false">CHOOSE(H64+1,"no data","maintenance","medium","hard")</f>
        <v>medium</v>
      </c>
      <c r="G64" s="6" t="str">
        <f aca="false">CHOOSE(H64+1,"",p_sets_maint_lo&amp;"-"&amp;p_sets_maint_hi,p_sets_med_lo&amp;"-"&amp;p_sets_med_hi,p_sets_hard_lo&amp;"-"&amp;p_sets_hard_hi)</f>
        <v>6-10</v>
      </c>
      <c r="H64" s="6" t="n">
        <f aca="false">MAX(IF(C64="hard",3,IF(C64="medium",2,IF(C64="maintenance",1,0))),IF(E64="hard",3,IF(E64="medium",2,IF(E64="maintenance",1,0))))</f>
        <v>2</v>
      </c>
    </row>
    <row r="65" customFormat="false" ht="15" hidden="false" customHeight="false" outlineLevel="0" collapsed="false">
      <c r="A65" s="6" t="s">
        <v>358</v>
      </c>
      <c r="B65" s="6" t="str">
        <f aca="false">INDEX(s_mg_class,MATCH(A65,s_mg_names,0))</f>
        <v>weak</v>
      </c>
      <c r="C65" s="6" t="str">
        <f aca="false">IF(B65="weak","hard",IF(B65="strong","maintenance",IF(B65="no data","","medium")))</f>
        <v>hard</v>
      </c>
      <c r="D65" s="6" t="str">
        <f aca="false">IF(m_sex="female","","")</f>
        <v/>
      </c>
      <c r="E65" s="6" t="str">
        <f aca="false">IF(D65="","",INDEX($D$37:$D$44,MATCH(D65,$A$37:$A$44,0)))</f>
        <v/>
      </c>
      <c r="F65" s="6" t="str">
        <f aca="false">CHOOSE(H65+1,"no data","maintenance","medium","hard")</f>
        <v>hard</v>
      </c>
      <c r="G65" s="6" t="str">
        <f aca="false">CHOOSE(H65+1,"",p_sets_maint_lo&amp;"-"&amp;p_sets_maint_hi,p_sets_med_lo&amp;"-"&amp;p_sets_med_hi,p_sets_hard_lo&amp;"-"&amp;p_sets_hard_hi)</f>
        <v>12-20</v>
      </c>
      <c r="H65" s="6" t="n">
        <f aca="false">MAX(IF(C65="hard",3,IF(C65="medium",2,IF(C65="maintenance",1,0))),IF(E65="hard",3,IF(E65="medium",2,IF(E65="maintenance",1,0))))</f>
        <v>3</v>
      </c>
    </row>
    <row r="66" customFormat="false" ht="15" hidden="false" customHeight="false" outlineLevel="0" collapsed="false">
      <c r="A66" s="6" t="s">
        <v>359</v>
      </c>
      <c r="B66" s="6" t="str">
        <f aca="false">INDEX(s_mg_class,MATCH(A66,s_mg_names,0))</f>
        <v>weak</v>
      </c>
      <c r="C66" s="6" t="str">
        <f aca="false">IF(B66="weak","hard",IF(B66="strong","maintenance",IF(B66="no data","","medium")))</f>
        <v>hard</v>
      </c>
      <c r="D66" s="6" t="str">
        <f aca="false">IF(m_sex="female","hips","thigh")</f>
        <v>hips</v>
      </c>
      <c r="E66" s="6" t="str">
        <f aca="false">IF(D66="","",INDEX($D$37:$D$44,MATCH(D66,$A$37:$A$44,0)))</f>
        <v>medium</v>
      </c>
      <c r="F66" s="6" t="str">
        <f aca="false">CHOOSE(H66+1,"no data","maintenance","medium","hard")</f>
        <v>hard</v>
      </c>
      <c r="G66" s="6" t="str">
        <f aca="false">CHOOSE(H66+1,"",p_sets_maint_lo&amp;"-"&amp;p_sets_maint_hi,p_sets_med_lo&amp;"-"&amp;p_sets_med_hi,p_sets_hard_lo&amp;"-"&amp;p_sets_hard_hi)</f>
        <v>12-20</v>
      </c>
      <c r="H66" s="6" t="n">
        <f aca="false">MAX(IF(C66="hard",3,IF(C66="medium",2,IF(C66="maintenance",1,0))),IF(E66="hard",3,IF(E66="medium",2,IF(E66="maintenance",1,0))))</f>
        <v>3</v>
      </c>
    </row>
    <row r="67" customFormat="false" ht="15" hidden="false" customHeight="false" outlineLevel="0" collapsed="false">
      <c r="A67" s="6" t="s">
        <v>360</v>
      </c>
      <c r="B67" s="6" t="str">
        <f aca="false">INDEX(s_mg_class,MATCH(A67,s_mg_names,0))</f>
        <v>no data</v>
      </c>
      <c r="C67" s="6" t="str">
        <f aca="false">IF(B67="weak","hard",IF(B67="strong","maintenance",IF(B67="no data","","medium")))</f>
        <v/>
      </c>
      <c r="D67" s="6" t="str">
        <f aca="false">IF(m_sex="female","","calf")</f>
        <v/>
      </c>
      <c r="E67" s="6" t="str">
        <f aca="false">IF(D67="","",INDEX($D$37:$D$44,MATCH(D67,$A$37:$A$44,0)))</f>
        <v/>
      </c>
      <c r="F67" s="6" t="str">
        <f aca="false">CHOOSE(H67+1,"no data","maintenance","medium","hard")</f>
        <v>no data</v>
      </c>
      <c r="G67" s="6" t="str">
        <f aca="false">CHOOSE(H67+1,"",p_sets_maint_lo&amp;"-"&amp;p_sets_maint_hi,p_sets_med_lo&amp;"-"&amp;p_sets_med_hi,p_sets_hard_lo&amp;"-"&amp;p_sets_hard_hi)</f>
        <v/>
      </c>
      <c r="H67" s="6" t="n">
        <f aca="false">MAX(IF(C67="hard",3,IF(C67="medium",2,IF(C67="maintenance",1,0))),IF(E67="hard",3,IF(E67="medium",2,IF(E67="maintenance",1,0))))</f>
        <v>0</v>
      </c>
    </row>
    <row r="68" customFormat="false" ht="15" hidden="false" customHeight="false" outlineLevel="0" collapsed="false">
      <c r="A68" s="7" t="s">
        <v>361</v>
      </c>
    </row>
    <row r="70" customFormat="false" ht="16.15" hidden="false" customHeight="false" outlineLevel="0" collapsed="false">
      <c r="A70" s="11" t="s">
        <v>362</v>
      </c>
    </row>
    <row r="71" customFormat="false" ht="15" hidden="false" customHeight="false" outlineLevel="0" collapsed="false">
      <c r="A71" s="7" t="s">
        <v>363</v>
      </c>
    </row>
    <row r="72" customFormat="false" ht="15" hidden="false" customHeight="false" outlineLevel="0" collapsed="false">
      <c r="A72" s="4" t="s">
        <v>364</v>
      </c>
      <c r="B72" s="4" t="s">
        <v>365</v>
      </c>
      <c r="C72" s="4" t="s">
        <v>366</v>
      </c>
      <c r="D72" s="4" t="s">
        <v>367</v>
      </c>
      <c r="E72" s="4" t="s">
        <v>368</v>
      </c>
    </row>
    <row r="73" customFormat="false" ht="15" hidden="false" customHeight="false" outlineLevel="0" collapsed="false">
      <c r="A73" s="6" t="str">
        <f aca="false">INDEX($K$73:$K$111,MATCH(LARGE($M$73:$M$111,1),$M$73:$M$111,0))</f>
        <v>Back squat</v>
      </c>
      <c r="B73" s="6" t="str">
        <f aca="false">INDEX($O$73:$O$111,MATCH(LARGE($M$73:$M$111,1),$M$73:$M$111,0))</f>
        <v>compound (major)</v>
      </c>
      <c r="C73" s="6" t="str">
        <f aca="false">CHOOSE(INDEX($L$73:$L$111,MATCH(LARGE($M$73:$M$111,1),$M$73:$M$111,0))+1,"none","maintenance","medium","hard")</f>
        <v>hard</v>
      </c>
      <c r="D73" s="6" t="str">
        <f aca="false">INDEX($P$73:$P$111,MATCH(LARGE($M$73:$M$111,1),$M$73:$M$111,0))</f>
        <v>squat</v>
      </c>
      <c r="E73" s="6" t="str">
        <f aca="false">INDEX($N$73:$N$111,MATCH(LARGE($M$73:$M$111,1),$M$73:$M$111,0))</f>
        <v>Spinal erectors, Glutes, Quads, Hip adductors</v>
      </c>
      <c r="K73" s="6" t="str">
        <f aca="false">Parameters!$A$276</f>
        <v>Back squat</v>
      </c>
      <c r="L73" s="6" t="n">
        <f aca="false">IF(LEFT(Parameters!$B$276,8)="compound",MAX(IF(IFERROR(INDEX($E$29:$E$33,MATCH(Parameters!$C$276,$A$29:$A$33,0)),"")="hard",3,IF(IFERROR(INDEX($E$29:$E$33,MATCH(Parameters!$C$276,$A$29:$A$33,0)),"")="medium",2,IF(IFERROR(INDEX($E$29:$E$33,MATCH(Parameters!$C$276,$A$29:$A$33,0)),"")="maintenance",1,0))),IF(IFERROR(INDEX($E$48:$E$67,MATCH(Parameters!$D$276,$A$48:$A$67,0)),"")="hard",3,IF(IFERROR(INDEX($E$48:$E$67,MATCH(Parameters!$D$276,$A$48:$A$67,0)),"")="medium",2,IF(IFERROR(INDEX($E$48:$E$67,MATCH(Parameters!$D$276,$A$48:$A$67,0)),"")="maintenance",1,0)))),MAX(1,IF(IFERROR(INDEX($E$48:$E$67,MATCH(Parameters!$D$276,$A$48:$A$67,0)),"")="hard",3,IF(IFERROR(INDEX($E$48:$E$67,MATCH(Parameters!$D$276,$A$48:$A$67,0)),"")="medium",2,IF(IFERROR(INDEX($E$48:$E$67,MATCH(Parameters!$D$276,$A$48:$A$67,0)),"")="maintenance",1,0)))))</f>
        <v>3</v>
      </c>
      <c r="M73" s="6" t="n">
        <f aca="false">L73*10+IF(LEFT(Parameters!$B$276,8)="compound",1,0)-ROW()/1000000</f>
        <v>30.999927</v>
      </c>
      <c r="N73" s="0" t="str">
        <f aca="false" t="array" ref="N73:N73">_xlfn.TEXTJOIN(", ",TRUE(),IF(Parameters!$F$276:$Y$276=1,Parameters!$F$275:$Y$275,""))</f>
        <v>Spinal erectors, Glutes, Quads, Hip adductors</v>
      </c>
      <c r="O73" s="6" t="str">
        <f aca="false">Parameters!$B$276</f>
        <v>compound (major)</v>
      </c>
      <c r="P73" s="6" t="str">
        <f aca="false">IF(Parameters!$E$276="","",Parameters!$E$276)</f>
        <v>squat</v>
      </c>
    </row>
    <row r="74" customFormat="false" ht="15" hidden="false" customHeight="false" outlineLevel="0" collapsed="false">
      <c r="A74" s="6" t="str">
        <f aca="false">INDEX($K$73:$K$111,MATCH(LARGE($M$73:$M$111,2),$M$73:$M$111,0))</f>
        <v>Front squat</v>
      </c>
      <c r="B74" s="6" t="str">
        <f aca="false">INDEX($O$73:$O$111,MATCH(LARGE($M$73:$M$111,2),$M$73:$M$111,0))</f>
        <v>compound (major)</v>
      </c>
      <c r="C74" s="6" t="str">
        <f aca="false">CHOOSE(INDEX($L$73:$L$111,MATCH(LARGE($M$73:$M$111,2),$M$73:$M$111,0))+1,"none","maintenance","medium","hard")</f>
        <v>hard</v>
      </c>
      <c r="D74" s="6" t="str">
        <f aca="false">INDEX($P$73:$P$111,MATCH(LARGE($M$73:$M$111,2),$M$73:$M$111,0))</f>
        <v>front_squat</v>
      </c>
      <c r="E74" s="6" t="str">
        <f aca="false">INDEX($N$73:$N$111,MATCH(LARGE($M$73:$M$111,2),$M$73:$M$111,0))</f>
        <v>Abdominals, Glutes, Quads</v>
      </c>
      <c r="K74" s="6" t="str">
        <f aca="false">Parameters!$A$277</f>
        <v>Front squat</v>
      </c>
      <c r="L74" s="6" t="n">
        <f aca="false">IF(LEFT(Parameters!$B$277,8)="compound",MAX(IF(IFERROR(INDEX($E$29:$E$33,MATCH(Parameters!$C$277,$A$29:$A$33,0)),"")="hard",3,IF(IFERROR(INDEX($E$29:$E$33,MATCH(Parameters!$C$277,$A$29:$A$33,0)),"")="medium",2,IF(IFERROR(INDEX($E$29:$E$33,MATCH(Parameters!$C$277,$A$29:$A$33,0)),"")="maintenance",1,0))),IF(IFERROR(INDEX($E$48:$E$67,MATCH(Parameters!$D$277,$A$48:$A$67,0)),"")="hard",3,IF(IFERROR(INDEX($E$48:$E$67,MATCH(Parameters!$D$277,$A$48:$A$67,0)),"")="medium",2,IF(IFERROR(INDEX($E$48:$E$67,MATCH(Parameters!$D$277,$A$48:$A$67,0)),"")="maintenance",1,0)))),MAX(1,IF(IFERROR(INDEX($E$48:$E$67,MATCH(Parameters!$D$277,$A$48:$A$67,0)),"")="hard",3,IF(IFERROR(INDEX($E$48:$E$67,MATCH(Parameters!$D$277,$A$48:$A$67,0)),"")="medium",2,IF(IFERROR(INDEX($E$48:$E$67,MATCH(Parameters!$D$277,$A$48:$A$67,0)),"")="maintenance",1,0)))))</f>
        <v>3</v>
      </c>
      <c r="M74" s="6" t="n">
        <f aca="false">L74*10+IF(LEFT(Parameters!$B$277,8)="compound",1,0)-ROW()/1000000</f>
        <v>30.999926</v>
      </c>
      <c r="N74" s="0" t="str">
        <f aca="false" t="array" ref="N74:N74">_xlfn.TEXTJOIN(", ",TRUE(),IF(Parameters!$F$277:$Y$277=1,Parameters!$F$275:$Y$275,""))</f>
        <v>Abdominals, Glutes, Quads</v>
      </c>
      <c r="O74" s="6" t="str">
        <f aca="false">Parameters!$B$277</f>
        <v>compound (major)</v>
      </c>
      <c r="P74" s="6" t="str">
        <f aca="false">IF(Parameters!$E$277="","",Parameters!$E$277)</f>
        <v>front_squat</v>
      </c>
    </row>
    <row r="75" customFormat="false" ht="15" hidden="false" customHeight="false" outlineLevel="0" collapsed="false">
      <c r="A75" s="6" t="str">
        <f aca="false">INDEX($K$73:$K$111,MATCH(LARGE($M$73:$M$111,3),$M$73:$M$111,0))</f>
        <v>Leg press</v>
      </c>
      <c r="B75" s="6" t="str">
        <f aca="false">INDEX($O$73:$O$111,MATCH(LARGE($M$73:$M$111,3),$M$73:$M$111,0))</f>
        <v>compound (major)</v>
      </c>
      <c r="C75" s="6" t="str">
        <f aca="false">CHOOSE(INDEX($L$73:$L$111,MATCH(LARGE($M$73:$M$111,3),$M$73:$M$111,0))+1,"none","maintenance","medium","hard")</f>
        <v>hard</v>
      </c>
      <c r="D75" s="6" t="str">
        <f aca="false">INDEX($P$73:$P$111,MATCH(LARGE($M$73:$M$111,3),$M$73:$M$111,0))</f>
        <v>leg_press</v>
      </c>
      <c r="E75" s="6" t="str">
        <f aca="false">INDEX($N$73:$N$111,MATCH(LARGE($M$73:$M$111,3),$M$73:$M$111,0))</f>
        <v>Glutes, Quads, Hip adductors</v>
      </c>
      <c r="K75" s="6" t="str">
        <f aca="false">Parameters!$A$278</f>
        <v>Leg press</v>
      </c>
      <c r="L75" s="6" t="n">
        <f aca="false">IF(LEFT(Parameters!$B$278,8)="compound",MAX(IF(IFERROR(INDEX($E$29:$E$33,MATCH(Parameters!$C$278,$A$29:$A$33,0)),"")="hard",3,IF(IFERROR(INDEX($E$29:$E$33,MATCH(Parameters!$C$278,$A$29:$A$33,0)),"")="medium",2,IF(IFERROR(INDEX($E$29:$E$33,MATCH(Parameters!$C$278,$A$29:$A$33,0)),"")="maintenance",1,0))),IF(IFERROR(INDEX($E$48:$E$67,MATCH(Parameters!$D$278,$A$48:$A$67,0)),"")="hard",3,IF(IFERROR(INDEX($E$48:$E$67,MATCH(Parameters!$D$278,$A$48:$A$67,0)),"")="medium",2,IF(IFERROR(INDEX($E$48:$E$67,MATCH(Parameters!$D$278,$A$48:$A$67,0)),"")="maintenance",1,0)))),MAX(1,IF(IFERROR(INDEX($E$48:$E$67,MATCH(Parameters!$D$278,$A$48:$A$67,0)),"")="hard",3,IF(IFERROR(INDEX($E$48:$E$67,MATCH(Parameters!$D$278,$A$48:$A$67,0)),"")="medium",2,IF(IFERROR(INDEX($E$48:$E$67,MATCH(Parameters!$D$278,$A$48:$A$67,0)),"")="maintenance",1,0)))))</f>
        <v>3</v>
      </c>
      <c r="M75" s="6" t="n">
        <f aca="false">L75*10+IF(LEFT(Parameters!$B$278,8)="compound",1,0)-ROW()/1000000</f>
        <v>30.999925</v>
      </c>
      <c r="N75" s="0" t="str">
        <f aca="false" t="array" ref="N75:N75">_xlfn.TEXTJOIN(", ",TRUE(),IF(Parameters!$F$278:$Y$278=1,Parameters!$F$275:$Y$275,""))</f>
        <v>Glutes, Quads, Hip adductors</v>
      </c>
      <c r="O75" s="6" t="str">
        <f aca="false">Parameters!$B$278</f>
        <v>compound (major)</v>
      </c>
      <c r="P75" s="6" t="str">
        <f aca="false">IF(Parameters!$E$278="","",Parameters!$E$278)</f>
        <v>leg_press</v>
      </c>
    </row>
    <row r="76" customFormat="false" ht="15" hidden="false" customHeight="false" outlineLevel="0" collapsed="false">
      <c r="A76" s="6" t="str">
        <f aca="false">INDEX($K$73:$K$111,MATCH(LARGE($M$73:$M$111,4),$M$73:$M$111,0))</f>
        <v>Bulgarian split squat</v>
      </c>
      <c r="B76" s="6" t="str">
        <f aca="false">INDEX($O$73:$O$111,MATCH(LARGE($M$73:$M$111,4),$M$73:$M$111,0))</f>
        <v>compound (major)</v>
      </c>
      <c r="C76" s="6" t="str">
        <f aca="false">CHOOSE(INDEX($L$73:$L$111,MATCH(LARGE($M$73:$M$111,4),$M$73:$M$111,0))+1,"none","maintenance","medium","hard")</f>
        <v>hard</v>
      </c>
      <c r="D76" s="6" t="str">
        <f aca="false">INDEX($P$73:$P$111,MATCH(LARGE($M$73:$M$111,4),$M$73:$M$111,0))</f>
        <v/>
      </c>
      <c r="E76" s="6" t="str">
        <f aca="false">INDEX($N$73:$N$111,MATCH(LARGE($M$73:$M$111,4),$M$73:$M$111,0))</f>
        <v>Glutes, Quads, Hip adductors</v>
      </c>
      <c r="K76" s="6" t="str">
        <f aca="false">Parameters!$A$279</f>
        <v>Bulgarian split squat</v>
      </c>
      <c r="L76" s="6" t="n">
        <f aca="false">IF(LEFT(Parameters!$B$279,8)="compound",MAX(IF(IFERROR(INDEX($E$29:$E$33,MATCH(Parameters!$C$279,$A$29:$A$33,0)),"")="hard",3,IF(IFERROR(INDEX($E$29:$E$33,MATCH(Parameters!$C$279,$A$29:$A$33,0)),"")="medium",2,IF(IFERROR(INDEX($E$29:$E$33,MATCH(Parameters!$C$279,$A$29:$A$33,0)),"")="maintenance",1,0))),IF(IFERROR(INDEX($E$48:$E$67,MATCH(Parameters!$D$279,$A$48:$A$67,0)),"")="hard",3,IF(IFERROR(INDEX($E$48:$E$67,MATCH(Parameters!$D$279,$A$48:$A$67,0)),"")="medium",2,IF(IFERROR(INDEX($E$48:$E$67,MATCH(Parameters!$D$279,$A$48:$A$67,0)),"")="maintenance",1,0)))),MAX(1,IF(IFERROR(INDEX($E$48:$E$67,MATCH(Parameters!$D$279,$A$48:$A$67,0)),"")="hard",3,IF(IFERROR(INDEX($E$48:$E$67,MATCH(Parameters!$D$279,$A$48:$A$67,0)),"")="medium",2,IF(IFERROR(INDEX($E$48:$E$67,MATCH(Parameters!$D$279,$A$48:$A$67,0)),"")="maintenance",1,0)))))</f>
        <v>3</v>
      </c>
      <c r="M76" s="6" t="n">
        <f aca="false">L76*10+IF(LEFT(Parameters!$B$279,8)="compound",1,0)-ROW()/1000000</f>
        <v>30.999924</v>
      </c>
      <c r="N76" s="0" t="str">
        <f aca="false" t="array" ref="N76:N76">_xlfn.TEXTJOIN(", ",TRUE(),IF(Parameters!$F$279:$Y$279=1,Parameters!$F$275:$Y$275,""))</f>
        <v>Glutes, Quads, Hip adductors</v>
      </c>
      <c r="O76" s="6" t="str">
        <f aca="false">Parameters!$B$279</f>
        <v>compound (major)</v>
      </c>
      <c r="P76" s="6" t="str">
        <f aca="false">IF(Parameters!$E$279="","",Parameters!$E$279)</f>
        <v/>
      </c>
    </row>
    <row r="77" customFormat="false" ht="15" hidden="false" customHeight="false" outlineLevel="0" collapsed="false">
      <c r="A77" s="6" t="str">
        <f aca="false">INDEX($K$73:$K$111,MATCH(LARGE($M$73:$M$111,5),$M$73:$M$111,0))</f>
        <v>Bench press</v>
      </c>
      <c r="B77" s="6" t="str">
        <f aca="false">INDEX($O$73:$O$111,MATCH(LARGE($M$73:$M$111,5),$M$73:$M$111,0))</f>
        <v>compound (major)</v>
      </c>
      <c r="C77" s="6" t="str">
        <f aca="false">CHOOSE(INDEX($L$73:$L$111,MATCH(LARGE($M$73:$M$111,5),$M$73:$M$111,0))+1,"none","maintenance","medium","hard")</f>
        <v>hard</v>
      </c>
      <c r="D77" s="6" t="str">
        <f aca="false">INDEX($P$73:$P$111,MATCH(LARGE($M$73:$M$111,5),$M$73:$M$111,0))</f>
        <v>bench</v>
      </c>
      <c r="E77" s="6" t="str">
        <f aca="false">INDEX($N$73:$N$111,MATCH(LARGE($M$73:$M$111,5),$M$73:$M$111,0))</f>
        <v>Anterior delts, Pecs, Triceps</v>
      </c>
      <c r="K77" s="6" t="str">
        <f aca="false">Parameters!$A$280</f>
        <v>Deadlift</v>
      </c>
      <c r="L77" s="6" t="n">
        <f aca="false">IF(LEFT(Parameters!$B$280,8)="compound",MAX(IF(IFERROR(INDEX($E$29:$E$33,MATCH(Parameters!$C$280,$A$29:$A$33,0)),"")="hard",3,IF(IFERROR(INDEX($E$29:$E$33,MATCH(Parameters!$C$280,$A$29:$A$33,0)),"")="medium",2,IF(IFERROR(INDEX($E$29:$E$33,MATCH(Parameters!$C$280,$A$29:$A$33,0)),"")="maintenance",1,0))),IF(IFERROR(INDEX($E$48:$E$67,MATCH(Parameters!$D$280,$A$48:$A$67,0)),"")="hard",3,IF(IFERROR(INDEX($E$48:$E$67,MATCH(Parameters!$D$280,$A$48:$A$67,0)),"")="medium",2,IF(IFERROR(INDEX($E$48:$E$67,MATCH(Parameters!$D$280,$A$48:$A$67,0)),"")="maintenance",1,0)))),MAX(1,IF(IFERROR(INDEX($E$48:$E$67,MATCH(Parameters!$D$280,$A$48:$A$67,0)),"")="hard",3,IF(IFERROR(INDEX($E$48:$E$67,MATCH(Parameters!$D$280,$A$48:$A$67,0)),"")="medium",2,IF(IFERROR(INDEX($E$48:$E$67,MATCH(Parameters!$D$280,$A$48:$A$67,0)),"")="maintenance",1,0)))))</f>
        <v>2</v>
      </c>
      <c r="M77" s="6" t="n">
        <f aca="false">L77*10+IF(LEFT(Parameters!$B$280,8)="compound",1,0)-ROW()/1000000</f>
        <v>20.999923</v>
      </c>
      <c r="N77" s="0" t="str">
        <f aca="false" t="array" ref="N77:N77">_xlfn.TEXTJOIN(", ",TRUE(),IF(Parameters!$F$280:$Y$280=1,Parameters!$F$275:$Y$275,""))</f>
        <v>Upper traps, Forearms, Spinal erectors, Glutes, Hamstrings</v>
      </c>
      <c r="O77" s="6" t="str">
        <f aca="false">Parameters!$B$280</f>
        <v>compound (major)</v>
      </c>
      <c r="P77" s="6" t="str">
        <f aca="false">IF(Parameters!$E$280="","",Parameters!$E$280)</f>
        <v>deadlift</v>
      </c>
    </row>
    <row r="78" customFormat="false" ht="15" hidden="false" customHeight="false" outlineLevel="0" collapsed="false">
      <c r="A78" s="6" t="str">
        <f aca="false">INDEX($K$73:$K$111,MATCH(LARGE($M$73:$M$111,6),$M$73:$M$111,0))</f>
        <v>Incline bench press</v>
      </c>
      <c r="B78" s="6" t="str">
        <f aca="false">INDEX($O$73:$O$111,MATCH(LARGE($M$73:$M$111,6),$M$73:$M$111,0))</f>
        <v>compound (major)</v>
      </c>
      <c r="C78" s="6" t="str">
        <f aca="false">CHOOSE(INDEX($L$73:$L$111,MATCH(LARGE($M$73:$M$111,6),$M$73:$M$111,0))+1,"none","maintenance","medium","hard")</f>
        <v>hard</v>
      </c>
      <c r="D78" s="6" t="str">
        <f aca="false">INDEX($P$73:$P$111,MATCH(LARGE($M$73:$M$111,6),$M$73:$M$111,0))</f>
        <v>incline_bench</v>
      </c>
      <c r="E78" s="6" t="str">
        <f aca="false">INDEX($N$73:$N$111,MATCH(LARGE($M$73:$M$111,6),$M$73:$M$111,0))</f>
        <v>Anterior delts, Pecs, Triceps</v>
      </c>
      <c r="K78" s="6" t="str">
        <f aca="false">Parameters!$A$281</f>
        <v>Romanian deadlift</v>
      </c>
      <c r="L78" s="6" t="n">
        <f aca="false">IF(LEFT(Parameters!$B$281,8)="compound",MAX(IF(IFERROR(INDEX($E$29:$E$33,MATCH(Parameters!$C$281,$A$29:$A$33,0)),"")="hard",3,IF(IFERROR(INDEX($E$29:$E$33,MATCH(Parameters!$C$281,$A$29:$A$33,0)),"")="medium",2,IF(IFERROR(INDEX($E$29:$E$33,MATCH(Parameters!$C$281,$A$29:$A$33,0)),"")="maintenance",1,0))),IF(IFERROR(INDEX($E$48:$E$67,MATCH(Parameters!$D$281,$A$48:$A$67,0)),"")="hard",3,IF(IFERROR(INDEX($E$48:$E$67,MATCH(Parameters!$D$281,$A$48:$A$67,0)),"")="medium",2,IF(IFERROR(INDEX($E$48:$E$67,MATCH(Parameters!$D$281,$A$48:$A$67,0)),"")="maintenance",1,0)))),MAX(1,IF(IFERROR(INDEX($E$48:$E$67,MATCH(Parameters!$D$281,$A$48:$A$67,0)),"")="hard",3,IF(IFERROR(INDEX($E$48:$E$67,MATCH(Parameters!$D$281,$A$48:$A$67,0)),"")="medium",2,IF(IFERROR(INDEX($E$48:$E$67,MATCH(Parameters!$D$281,$A$48:$A$67,0)),"")="maintenance",1,0)))))</f>
        <v>2</v>
      </c>
      <c r="M78" s="6" t="n">
        <f aca="false">L78*10+IF(LEFT(Parameters!$B$281,8)="compound",1,0)-ROW()/1000000</f>
        <v>20.999922</v>
      </c>
      <c r="N78" s="0" t="str">
        <f aca="false" t="array" ref="N78:N78">_xlfn.TEXTJOIN(", ",TRUE(),IF(Parameters!$F$281:$Y$281=1,Parameters!$F$275:$Y$275,""))</f>
        <v>Spinal erectors, Glutes, Hamstrings</v>
      </c>
      <c r="O78" s="6" t="str">
        <f aca="false">Parameters!$B$281</f>
        <v>compound (major)</v>
      </c>
      <c r="P78" s="6" t="str">
        <f aca="false">IF(Parameters!$E$281="","",Parameters!$E$281)</f>
        <v/>
      </c>
    </row>
    <row r="79" customFormat="false" ht="15" hidden="false" customHeight="false" outlineLevel="0" collapsed="false">
      <c r="A79" s="6" t="str">
        <f aca="false">INDEX($K$73:$K$111,MATCH(LARGE($M$73:$M$111,7),$M$73:$M$111,0))</f>
        <v>Dumbbell bench press</v>
      </c>
      <c r="B79" s="6" t="str">
        <f aca="false">INDEX($O$73:$O$111,MATCH(LARGE($M$73:$M$111,7),$M$73:$M$111,0))</f>
        <v>compound (major)</v>
      </c>
      <c r="C79" s="6" t="str">
        <f aca="false">CHOOSE(INDEX($L$73:$L$111,MATCH(LARGE($M$73:$M$111,7),$M$73:$M$111,0))+1,"none","maintenance","medium","hard")</f>
        <v>hard</v>
      </c>
      <c r="D79" s="6" t="str">
        <f aca="false">INDEX($P$73:$P$111,MATCH(LARGE($M$73:$M$111,7),$M$73:$M$111,0))</f>
        <v/>
      </c>
      <c r="E79" s="6" t="str">
        <f aca="false">INDEX($N$73:$N$111,MATCH(LARGE($M$73:$M$111,7),$M$73:$M$111,0))</f>
        <v>Anterior delts, Pecs, Triceps</v>
      </c>
      <c r="K79" s="6" t="str">
        <f aca="false">Parameters!$A$282</f>
        <v>Hip thrust</v>
      </c>
      <c r="L79" s="6" t="n">
        <f aca="false">IF(LEFT(Parameters!$B$282,8)="compound",MAX(IF(IFERROR(INDEX($E$29:$E$33,MATCH(Parameters!$C$282,$A$29:$A$33,0)),"")="hard",3,IF(IFERROR(INDEX($E$29:$E$33,MATCH(Parameters!$C$282,$A$29:$A$33,0)),"")="medium",2,IF(IFERROR(INDEX($E$29:$E$33,MATCH(Parameters!$C$282,$A$29:$A$33,0)),"")="maintenance",1,0))),IF(IFERROR(INDEX($E$48:$E$67,MATCH(Parameters!$D$282,$A$48:$A$67,0)),"")="hard",3,IF(IFERROR(INDEX($E$48:$E$67,MATCH(Parameters!$D$282,$A$48:$A$67,0)),"")="medium",2,IF(IFERROR(INDEX($E$48:$E$67,MATCH(Parameters!$D$282,$A$48:$A$67,0)),"")="maintenance",1,0)))),MAX(1,IF(IFERROR(INDEX($E$48:$E$67,MATCH(Parameters!$D$282,$A$48:$A$67,0)),"")="hard",3,IF(IFERROR(INDEX($E$48:$E$67,MATCH(Parameters!$D$282,$A$48:$A$67,0)),"")="medium",2,IF(IFERROR(INDEX($E$48:$E$67,MATCH(Parameters!$D$282,$A$48:$A$67,0)),"")="maintenance",1,0)))))</f>
        <v>2</v>
      </c>
      <c r="M79" s="6" t="n">
        <f aca="false">L79*10+IF(LEFT(Parameters!$B$282,8)="compound",1,0)-ROW()/1000000</f>
        <v>20.999921</v>
      </c>
      <c r="N79" s="0" t="str">
        <f aca="false" t="array" ref="N79:N79">_xlfn.TEXTJOIN(", ",TRUE(),IF(Parameters!$F$282:$Y$282=1,Parameters!$F$275:$Y$275,""))</f>
        <v>Glutes, Hamstrings</v>
      </c>
      <c r="O79" s="6" t="str">
        <f aca="false">Parameters!$B$282</f>
        <v>compound (major)</v>
      </c>
      <c r="P79" s="6" t="str">
        <f aca="false">IF(Parameters!$E$282="","",Parameters!$E$282)</f>
        <v/>
      </c>
    </row>
    <row r="80" customFormat="false" ht="15" hidden="false" customHeight="false" outlineLevel="0" collapsed="false">
      <c r="A80" s="6" t="str">
        <f aca="false">INDEX($K$73:$K$111,MATCH(LARGE($M$73:$M$111,8),$M$73:$M$111,0))</f>
        <v>Close-grip bench press</v>
      </c>
      <c r="B80" s="6" t="str">
        <f aca="false">INDEX($O$73:$O$111,MATCH(LARGE($M$73:$M$111,8),$M$73:$M$111,0))</f>
        <v>compound (major)</v>
      </c>
      <c r="C80" s="6" t="str">
        <f aca="false">CHOOSE(INDEX($L$73:$L$111,MATCH(LARGE($M$73:$M$111,8),$M$73:$M$111,0))+1,"none","maintenance","medium","hard")</f>
        <v>hard</v>
      </c>
      <c r="D80" s="6" t="str">
        <f aca="false">INDEX($P$73:$P$111,MATCH(LARGE($M$73:$M$111,8),$M$73:$M$111,0))</f>
        <v/>
      </c>
      <c r="E80" s="6" t="str">
        <f aca="false">INDEX($N$73:$N$111,MATCH(LARGE($M$73:$M$111,8),$M$73:$M$111,0))</f>
        <v>Pecs, Triceps</v>
      </c>
      <c r="K80" s="6" t="str">
        <f aca="false">Parameters!$A$283</f>
        <v>Bench press</v>
      </c>
      <c r="L80" s="6" t="n">
        <f aca="false">IF(LEFT(Parameters!$B$283,8)="compound",MAX(IF(IFERROR(INDEX($E$29:$E$33,MATCH(Parameters!$C$283,$A$29:$A$33,0)),"")="hard",3,IF(IFERROR(INDEX($E$29:$E$33,MATCH(Parameters!$C$283,$A$29:$A$33,0)),"")="medium",2,IF(IFERROR(INDEX($E$29:$E$33,MATCH(Parameters!$C$283,$A$29:$A$33,0)),"")="maintenance",1,0))),IF(IFERROR(INDEX($E$48:$E$67,MATCH(Parameters!$D$283,$A$48:$A$67,0)),"")="hard",3,IF(IFERROR(INDEX($E$48:$E$67,MATCH(Parameters!$D$283,$A$48:$A$67,0)),"")="medium",2,IF(IFERROR(INDEX($E$48:$E$67,MATCH(Parameters!$D$283,$A$48:$A$67,0)),"")="maintenance",1,0)))),MAX(1,IF(IFERROR(INDEX($E$48:$E$67,MATCH(Parameters!$D$283,$A$48:$A$67,0)),"")="hard",3,IF(IFERROR(INDEX($E$48:$E$67,MATCH(Parameters!$D$283,$A$48:$A$67,0)),"")="medium",2,IF(IFERROR(INDEX($E$48:$E$67,MATCH(Parameters!$D$283,$A$48:$A$67,0)),"")="maintenance",1,0)))))</f>
        <v>3</v>
      </c>
      <c r="M80" s="6" t="n">
        <f aca="false">L80*10+IF(LEFT(Parameters!$B$283,8)="compound",1,0)-ROW()/1000000</f>
        <v>30.99992</v>
      </c>
      <c r="N80" s="0" t="str">
        <f aca="false" t="array" ref="N80:N80">_xlfn.TEXTJOIN(", ",TRUE(),IF(Parameters!$F$283:$Y$283=1,Parameters!$F$275:$Y$275,""))</f>
        <v>Anterior delts, Pecs, Triceps</v>
      </c>
      <c r="O80" s="6" t="str">
        <f aca="false">Parameters!$B$283</f>
        <v>compound (major)</v>
      </c>
      <c r="P80" s="6" t="str">
        <f aca="false">IF(Parameters!$E$283="","",Parameters!$E$283)</f>
        <v>bench</v>
      </c>
    </row>
    <row r="81" customFormat="false" ht="15" hidden="false" customHeight="false" outlineLevel="0" collapsed="false">
      <c r="A81" s="6" t="str">
        <f aca="false">INDEX($K$73:$K$111,MATCH(LARGE($M$73:$M$111,9),$M$73:$M$111,0))</f>
        <v>Dip</v>
      </c>
      <c r="B81" s="6" t="str">
        <f aca="false">INDEX($O$73:$O$111,MATCH(LARGE($M$73:$M$111,9),$M$73:$M$111,0))</f>
        <v>compound (major)</v>
      </c>
      <c r="C81" s="6" t="str">
        <f aca="false">CHOOSE(INDEX($L$73:$L$111,MATCH(LARGE($M$73:$M$111,9),$M$73:$M$111,0))+1,"none","maintenance","medium","hard")</f>
        <v>hard</v>
      </c>
      <c r="D81" s="6" t="str">
        <f aca="false">INDEX($P$73:$P$111,MATCH(LARGE($M$73:$M$111,9),$M$73:$M$111,0))</f>
        <v>dip</v>
      </c>
      <c r="E81" s="6" t="str">
        <f aca="false">INDEX($N$73:$N$111,MATCH(LARGE($M$73:$M$111,9),$M$73:$M$111,0))</f>
        <v>Anterior delts, Pecs, Triceps</v>
      </c>
      <c r="K81" s="6" t="str">
        <f aca="false">Parameters!$A$284</f>
        <v>Incline bench press</v>
      </c>
      <c r="L81" s="6" t="n">
        <f aca="false">IF(LEFT(Parameters!$B$284,8)="compound",MAX(IF(IFERROR(INDEX($E$29:$E$33,MATCH(Parameters!$C$284,$A$29:$A$33,0)),"")="hard",3,IF(IFERROR(INDEX($E$29:$E$33,MATCH(Parameters!$C$284,$A$29:$A$33,0)),"")="medium",2,IF(IFERROR(INDEX($E$29:$E$33,MATCH(Parameters!$C$284,$A$29:$A$33,0)),"")="maintenance",1,0))),IF(IFERROR(INDEX($E$48:$E$67,MATCH(Parameters!$D$284,$A$48:$A$67,0)),"")="hard",3,IF(IFERROR(INDEX($E$48:$E$67,MATCH(Parameters!$D$284,$A$48:$A$67,0)),"")="medium",2,IF(IFERROR(INDEX($E$48:$E$67,MATCH(Parameters!$D$284,$A$48:$A$67,0)),"")="maintenance",1,0)))),MAX(1,IF(IFERROR(INDEX($E$48:$E$67,MATCH(Parameters!$D$284,$A$48:$A$67,0)),"")="hard",3,IF(IFERROR(INDEX($E$48:$E$67,MATCH(Parameters!$D$284,$A$48:$A$67,0)),"")="medium",2,IF(IFERROR(INDEX($E$48:$E$67,MATCH(Parameters!$D$284,$A$48:$A$67,0)),"")="maintenance",1,0)))))</f>
        <v>3</v>
      </c>
      <c r="M81" s="6" t="n">
        <f aca="false">L81*10+IF(LEFT(Parameters!$B$284,8)="compound",1,0)-ROW()/1000000</f>
        <v>30.999919</v>
      </c>
      <c r="N81" s="0" t="str">
        <f aca="false" t="array" ref="N81:N81">_xlfn.TEXTJOIN(", ",TRUE(),IF(Parameters!$F$284:$Y$284=1,Parameters!$F$275:$Y$275,""))</f>
        <v>Anterior delts, Pecs, Triceps</v>
      </c>
      <c r="O81" s="6" t="str">
        <f aca="false">Parameters!$B$284</f>
        <v>compound (major)</v>
      </c>
      <c r="P81" s="6" t="str">
        <f aca="false">IF(Parameters!$E$284="","",Parameters!$E$284)</f>
        <v>incline_bench</v>
      </c>
    </row>
    <row r="82" customFormat="false" ht="15" hidden="false" customHeight="false" outlineLevel="0" collapsed="false">
      <c r="A82" s="6" t="str">
        <f aca="false">INDEX($K$73:$K$111,MATCH(LARGE($M$73:$M$111,10),$M$73:$M$111,0))</f>
        <v>Deadlift</v>
      </c>
      <c r="B82" s="6" t="str">
        <f aca="false">INDEX($O$73:$O$111,MATCH(LARGE($M$73:$M$111,10),$M$73:$M$111,0))</f>
        <v>compound (major)</v>
      </c>
      <c r="C82" s="6" t="str">
        <f aca="false">CHOOSE(INDEX($L$73:$L$111,MATCH(LARGE($M$73:$M$111,10),$M$73:$M$111,0))+1,"none","maintenance","medium","hard")</f>
        <v>medium</v>
      </c>
      <c r="D82" s="6" t="str">
        <f aca="false">INDEX($P$73:$P$111,MATCH(LARGE($M$73:$M$111,10),$M$73:$M$111,0))</f>
        <v>deadlift</v>
      </c>
      <c r="E82" s="6" t="str">
        <f aca="false">INDEX($N$73:$N$111,MATCH(LARGE($M$73:$M$111,10),$M$73:$M$111,0))</f>
        <v>Upper traps, Forearms, Spinal erectors, Glutes, Hamstrings</v>
      </c>
      <c r="K82" s="6" t="str">
        <f aca="false">Parameters!$A$285</f>
        <v>Dumbbell bench press</v>
      </c>
      <c r="L82" s="6" t="n">
        <f aca="false">IF(LEFT(Parameters!$B$285,8)="compound",MAX(IF(IFERROR(INDEX($E$29:$E$33,MATCH(Parameters!$C$285,$A$29:$A$33,0)),"")="hard",3,IF(IFERROR(INDEX($E$29:$E$33,MATCH(Parameters!$C$285,$A$29:$A$33,0)),"")="medium",2,IF(IFERROR(INDEX($E$29:$E$33,MATCH(Parameters!$C$285,$A$29:$A$33,0)),"")="maintenance",1,0))),IF(IFERROR(INDEX($E$48:$E$67,MATCH(Parameters!$D$285,$A$48:$A$67,0)),"")="hard",3,IF(IFERROR(INDEX($E$48:$E$67,MATCH(Parameters!$D$285,$A$48:$A$67,0)),"")="medium",2,IF(IFERROR(INDEX($E$48:$E$67,MATCH(Parameters!$D$285,$A$48:$A$67,0)),"")="maintenance",1,0)))),MAX(1,IF(IFERROR(INDEX($E$48:$E$67,MATCH(Parameters!$D$285,$A$48:$A$67,0)),"")="hard",3,IF(IFERROR(INDEX($E$48:$E$67,MATCH(Parameters!$D$285,$A$48:$A$67,0)),"")="medium",2,IF(IFERROR(INDEX($E$48:$E$67,MATCH(Parameters!$D$285,$A$48:$A$67,0)),"")="maintenance",1,0)))))</f>
        <v>3</v>
      </c>
      <c r="M82" s="6" t="n">
        <f aca="false">L82*10+IF(LEFT(Parameters!$B$285,8)="compound",1,0)-ROW()/1000000</f>
        <v>30.999918</v>
      </c>
      <c r="N82" s="0" t="str">
        <f aca="false" t="array" ref="N82:N82">_xlfn.TEXTJOIN(", ",TRUE(),IF(Parameters!$F$285:$Y$285=1,Parameters!$F$275:$Y$275,""))</f>
        <v>Anterior delts, Pecs, Triceps</v>
      </c>
      <c r="O82" s="6" t="str">
        <f aca="false">Parameters!$B$285</f>
        <v>compound (major)</v>
      </c>
      <c r="P82" s="6" t="str">
        <f aca="false">IF(Parameters!$E$285="","",Parameters!$E$285)</f>
        <v/>
      </c>
    </row>
    <row r="83" customFormat="false" ht="15" hidden="false" customHeight="false" outlineLevel="0" collapsed="false">
      <c r="A83" s="6" t="str">
        <f aca="false">INDEX($K$73:$K$111,MATCH(LARGE($M$73:$M$111,11),$M$73:$M$111,0))</f>
        <v>Romanian deadlift</v>
      </c>
      <c r="B83" s="6" t="str">
        <f aca="false">INDEX($O$73:$O$111,MATCH(LARGE($M$73:$M$111,11),$M$73:$M$111,0))</f>
        <v>compound (major)</v>
      </c>
      <c r="C83" s="6" t="str">
        <f aca="false">CHOOSE(INDEX($L$73:$L$111,MATCH(LARGE($M$73:$M$111,11),$M$73:$M$111,0))+1,"none","maintenance","medium","hard")</f>
        <v>medium</v>
      </c>
      <c r="D83" s="6" t="str">
        <f aca="false">INDEX($P$73:$P$111,MATCH(LARGE($M$73:$M$111,11),$M$73:$M$111,0))</f>
        <v/>
      </c>
      <c r="E83" s="6" t="str">
        <f aca="false">INDEX($N$73:$N$111,MATCH(LARGE($M$73:$M$111,11),$M$73:$M$111,0))</f>
        <v>Spinal erectors, Glutes, Hamstrings</v>
      </c>
      <c r="K83" s="6" t="str">
        <f aca="false">Parameters!$A$286</f>
        <v>Close-grip bench press</v>
      </c>
      <c r="L83" s="6" t="n">
        <f aca="false">IF(LEFT(Parameters!$B$286,8)="compound",MAX(IF(IFERROR(INDEX($E$29:$E$33,MATCH(Parameters!$C$286,$A$29:$A$33,0)),"")="hard",3,IF(IFERROR(INDEX($E$29:$E$33,MATCH(Parameters!$C$286,$A$29:$A$33,0)),"")="medium",2,IF(IFERROR(INDEX($E$29:$E$33,MATCH(Parameters!$C$286,$A$29:$A$33,0)),"")="maintenance",1,0))),IF(IFERROR(INDEX($E$48:$E$67,MATCH(Parameters!$D$286,$A$48:$A$67,0)),"")="hard",3,IF(IFERROR(INDEX($E$48:$E$67,MATCH(Parameters!$D$286,$A$48:$A$67,0)),"")="medium",2,IF(IFERROR(INDEX($E$48:$E$67,MATCH(Parameters!$D$286,$A$48:$A$67,0)),"")="maintenance",1,0)))),MAX(1,IF(IFERROR(INDEX($E$48:$E$67,MATCH(Parameters!$D$286,$A$48:$A$67,0)),"")="hard",3,IF(IFERROR(INDEX($E$48:$E$67,MATCH(Parameters!$D$286,$A$48:$A$67,0)),"")="medium",2,IF(IFERROR(INDEX($E$48:$E$67,MATCH(Parameters!$D$286,$A$48:$A$67,0)),"")="maintenance",1,0)))))</f>
        <v>3</v>
      </c>
      <c r="M83" s="6" t="n">
        <f aca="false">L83*10+IF(LEFT(Parameters!$B$286,8)="compound",1,0)-ROW()/1000000</f>
        <v>30.999917</v>
      </c>
      <c r="N83" s="0" t="str">
        <f aca="false" t="array" ref="N83:N83">_xlfn.TEXTJOIN(", ",TRUE(),IF(Parameters!$F$286:$Y$286=1,Parameters!$F$275:$Y$275,""))</f>
        <v>Pecs, Triceps</v>
      </c>
      <c r="O83" s="6" t="str">
        <f aca="false">Parameters!$B$286</f>
        <v>compound (major)</v>
      </c>
      <c r="P83" s="6" t="str">
        <f aca="false">IF(Parameters!$E$286="","",Parameters!$E$286)</f>
        <v/>
      </c>
    </row>
    <row r="84" customFormat="false" ht="15" hidden="false" customHeight="false" outlineLevel="0" collapsed="false">
      <c r="A84" s="6" t="str">
        <f aca="false">INDEX($K$73:$K$111,MATCH(LARGE($M$73:$M$111,12),$M$73:$M$111,0))</f>
        <v>Hip thrust</v>
      </c>
      <c r="B84" s="6" t="str">
        <f aca="false">INDEX($O$73:$O$111,MATCH(LARGE($M$73:$M$111,12),$M$73:$M$111,0))</f>
        <v>compound (major)</v>
      </c>
      <c r="C84" s="6" t="str">
        <f aca="false">CHOOSE(INDEX($L$73:$L$111,MATCH(LARGE($M$73:$M$111,12),$M$73:$M$111,0))+1,"none","maintenance","medium","hard")</f>
        <v>medium</v>
      </c>
      <c r="D84" s="6" t="str">
        <f aca="false">INDEX($P$73:$P$111,MATCH(LARGE($M$73:$M$111,12),$M$73:$M$111,0))</f>
        <v/>
      </c>
      <c r="E84" s="6" t="str">
        <f aca="false">INDEX($N$73:$N$111,MATCH(LARGE($M$73:$M$111,12),$M$73:$M$111,0))</f>
        <v>Glutes, Hamstrings</v>
      </c>
      <c r="K84" s="6" t="str">
        <f aca="false">Parameters!$A$287</f>
        <v>Dip</v>
      </c>
      <c r="L84" s="6" t="n">
        <f aca="false">IF(LEFT(Parameters!$B$287,8)="compound",MAX(IF(IFERROR(INDEX($E$29:$E$33,MATCH(Parameters!$C$287,$A$29:$A$33,0)),"")="hard",3,IF(IFERROR(INDEX($E$29:$E$33,MATCH(Parameters!$C$287,$A$29:$A$33,0)),"")="medium",2,IF(IFERROR(INDEX($E$29:$E$33,MATCH(Parameters!$C$287,$A$29:$A$33,0)),"")="maintenance",1,0))),IF(IFERROR(INDEX($E$48:$E$67,MATCH(Parameters!$D$287,$A$48:$A$67,0)),"")="hard",3,IF(IFERROR(INDEX($E$48:$E$67,MATCH(Parameters!$D$287,$A$48:$A$67,0)),"")="medium",2,IF(IFERROR(INDEX($E$48:$E$67,MATCH(Parameters!$D$287,$A$48:$A$67,0)),"")="maintenance",1,0)))),MAX(1,IF(IFERROR(INDEX($E$48:$E$67,MATCH(Parameters!$D$287,$A$48:$A$67,0)),"")="hard",3,IF(IFERROR(INDEX($E$48:$E$67,MATCH(Parameters!$D$287,$A$48:$A$67,0)),"")="medium",2,IF(IFERROR(INDEX($E$48:$E$67,MATCH(Parameters!$D$287,$A$48:$A$67,0)),"")="maintenance",1,0)))))</f>
        <v>3</v>
      </c>
      <c r="M84" s="6" t="n">
        <f aca="false">L84*10+IF(LEFT(Parameters!$B$287,8)="compound",1,0)-ROW()/1000000</f>
        <v>30.999916</v>
      </c>
      <c r="N84" s="0" t="str">
        <f aca="false" t="array" ref="N84:N84">_xlfn.TEXTJOIN(", ",TRUE(),IF(Parameters!$F$287:$Y$287=1,Parameters!$F$275:$Y$275,""))</f>
        <v>Anterior delts, Pecs, Triceps</v>
      </c>
      <c r="O84" s="6" t="str">
        <f aca="false">Parameters!$B$287</f>
        <v>compound (major)</v>
      </c>
      <c r="P84" s="6" t="str">
        <f aca="false">IF(Parameters!$E$287="","",Parameters!$E$287)</f>
        <v>dip</v>
      </c>
    </row>
    <row r="85" customFormat="false" ht="15" hidden="false" customHeight="false" outlineLevel="0" collapsed="false">
      <c r="A85" s="6" t="str">
        <f aca="false">INDEX($K$73:$K$111,MATCH(LARGE($M$73:$M$111,13),$M$73:$M$111,0))</f>
        <v>Chin-up</v>
      </c>
      <c r="B85" s="6" t="str">
        <f aca="false">INDEX($O$73:$O$111,MATCH(LARGE($M$73:$M$111,13),$M$73:$M$111,0))</f>
        <v>compound (major)</v>
      </c>
      <c r="C85" s="6" t="str">
        <f aca="false">CHOOSE(INDEX($L$73:$L$111,MATCH(LARGE($M$73:$M$111,13),$M$73:$M$111,0))+1,"none","maintenance","medium","hard")</f>
        <v>medium</v>
      </c>
      <c r="D85" s="6" t="str">
        <f aca="false">INDEX($P$73:$P$111,MATCH(LARGE($M$73:$M$111,13),$M$73:$M$111,0))</f>
        <v>chin_up</v>
      </c>
      <c r="E85" s="6" t="str">
        <f aca="false">INDEX($N$73:$N$111,MATCH(LARGE($M$73:$M$111,13),$M$73:$M$111,0))</f>
        <v>Posterior delts, Biceps, Lats</v>
      </c>
      <c r="K85" s="6" t="str">
        <f aca="false">Parameters!$A$288</f>
        <v>Overhead press</v>
      </c>
      <c r="L85" s="6" t="n">
        <f aca="false">IF(LEFT(Parameters!$B$288,8)="compound",MAX(IF(IFERROR(INDEX($E$29:$E$33,MATCH(Parameters!$C$288,$A$29:$A$33,0)),"")="hard",3,IF(IFERROR(INDEX($E$29:$E$33,MATCH(Parameters!$C$288,$A$29:$A$33,0)),"")="medium",2,IF(IFERROR(INDEX($E$29:$E$33,MATCH(Parameters!$C$288,$A$29:$A$33,0)),"")="maintenance",1,0))),IF(IFERROR(INDEX($E$48:$E$67,MATCH(Parameters!$D$288,$A$48:$A$67,0)),"")="hard",3,IF(IFERROR(INDEX($E$48:$E$67,MATCH(Parameters!$D$288,$A$48:$A$67,0)),"")="medium",2,IF(IFERROR(INDEX($E$48:$E$67,MATCH(Parameters!$D$288,$A$48:$A$67,0)),"")="maintenance",1,0)))),MAX(1,IF(IFERROR(INDEX($E$48:$E$67,MATCH(Parameters!$D$288,$A$48:$A$67,0)),"")="hard",3,IF(IFERROR(INDEX($E$48:$E$67,MATCH(Parameters!$D$288,$A$48:$A$67,0)),"")="medium",2,IF(IFERROR(INDEX($E$48:$E$67,MATCH(Parameters!$D$288,$A$48:$A$67,0)),"")="maintenance",1,0)))))</f>
        <v>1</v>
      </c>
      <c r="M85" s="6" t="n">
        <f aca="false">L85*10+IF(LEFT(Parameters!$B$288,8)="compound",1,0)-ROW()/1000000</f>
        <v>10.999915</v>
      </c>
      <c r="N85" s="0" t="str">
        <f aca="false" t="array" ref="N85:N85">_xlfn.TEXTJOIN(", ",TRUE(),IF(Parameters!$F$288:$Y$288=1,Parameters!$F$275:$Y$275,""))</f>
        <v>Anterior delts, Lateral delts, Triceps</v>
      </c>
      <c r="O85" s="6" t="str">
        <f aca="false">Parameters!$B$288</f>
        <v>compound (major)</v>
      </c>
      <c r="P85" s="6" t="str">
        <f aca="false">IF(Parameters!$E$288="","",Parameters!$E$288)</f>
        <v>ohp</v>
      </c>
    </row>
    <row r="86" customFormat="false" ht="15" hidden="false" customHeight="false" outlineLevel="0" collapsed="false">
      <c r="A86" s="6" t="str">
        <f aca="false">INDEX($K$73:$K$111,MATCH(LARGE($M$73:$M$111,14),$M$73:$M$111,0))</f>
        <v>Pull-up</v>
      </c>
      <c r="B86" s="6" t="str">
        <f aca="false">INDEX($O$73:$O$111,MATCH(LARGE($M$73:$M$111,14),$M$73:$M$111,0))</f>
        <v>compound (major)</v>
      </c>
      <c r="C86" s="6" t="str">
        <f aca="false">CHOOSE(INDEX($L$73:$L$111,MATCH(LARGE($M$73:$M$111,14),$M$73:$M$111,0))+1,"none","maintenance","medium","hard")</f>
        <v>medium</v>
      </c>
      <c r="D86" s="6" t="str">
        <f aca="false">INDEX($P$73:$P$111,MATCH(LARGE($M$73:$M$111,14),$M$73:$M$111,0))</f>
        <v>pull_up</v>
      </c>
      <c r="E86" s="6" t="str">
        <f aca="false">INDEX($N$73:$N$111,MATCH(LARGE($M$73:$M$111,14),$M$73:$M$111,0))</f>
        <v>Lower traps, Biceps, Lats</v>
      </c>
      <c r="K86" s="6" t="str">
        <f aca="false">Parameters!$A$289</f>
        <v>Dumbbell shoulder press</v>
      </c>
      <c r="L86" s="6" t="n">
        <f aca="false">IF(LEFT(Parameters!$B$289,8)="compound",MAX(IF(IFERROR(INDEX($E$29:$E$33,MATCH(Parameters!$C$289,$A$29:$A$33,0)),"")="hard",3,IF(IFERROR(INDEX($E$29:$E$33,MATCH(Parameters!$C$289,$A$29:$A$33,0)),"")="medium",2,IF(IFERROR(INDEX($E$29:$E$33,MATCH(Parameters!$C$289,$A$29:$A$33,0)),"")="maintenance",1,0))),IF(IFERROR(INDEX($E$48:$E$67,MATCH(Parameters!$D$289,$A$48:$A$67,0)),"")="hard",3,IF(IFERROR(INDEX($E$48:$E$67,MATCH(Parameters!$D$289,$A$48:$A$67,0)),"")="medium",2,IF(IFERROR(INDEX($E$48:$E$67,MATCH(Parameters!$D$289,$A$48:$A$67,0)),"")="maintenance",1,0)))),MAX(1,IF(IFERROR(INDEX($E$48:$E$67,MATCH(Parameters!$D$289,$A$48:$A$67,0)),"")="hard",3,IF(IFERROR(INDEX($E$48:$E$67,MATCH(Parameters!$D$289,$A$48:$A$67,0)),"")="medium",2,IF(IFERROR(INDEX($E$48:$E$67,MATCH(Parameters!$D$289,$A$48:$A$67,0)),"")="maintenance",1,0)))))</f>
        <v>1</v>
      </c>
      <c r="M86" s="6" t="n">
        <f aca="false">L86*10+IF(LEFT(Parameters!$B$289,8)="compound",1,0)-ROW()/1000000</f>
        <v>10.999914</v>
      </c>
      <c r="N86" s="0" t="str">
        <f aca="false" t="array" ref="N86:N86">_xlfn.TEXTJOIN(", ",TRUE(),IF(Parameters!$F$289:$Y$289=1,Parameters!$F$275:$Y$275,""))</f>
        <v>Anterior delts, Lateral delts, Triceps</v>
      </c>
      <c r="O86" s="6" t="str">
        <f aca="false">Parameters!$B$289</f>
        <v>compound (major)</v>
      </c>
      <c r="P86" s="6" t="str">
        <f aca="false">IF(Parameters!$E$289="","",Parameters!$E$289)</f>
        <v/>
      </c>
    </row>
    <row r="87" customFormat="false" ht="15" hidden="false" customHeight="false" outlineLevel="0" collapsed="false">
      <c r="A87" s="6" t="str">
        <f aca="false">INDEX($K$73:$K$111,MATCH(LARGE($M$73:$M$111,15),$M$73:$M$111,0))</f>
        <v>Lat pulldown</v>
      </c>
      <c r="B87" s="6" t="str">
        <f aca="false">INDEX($O$73:$O$111,MATCH(LARGE($M$73:$M$111,15),$M$73:$M$111,0))</f>
        <v>compound (major)</v>
      </c>
      <c r="C87" s="6" t="str">
        <f aca="false">CHOOSE(INDEX($L$73:$L$111,MATCH(LARGE($M$73:$M$111,15),$M$73:$M$111,0))+1,"none","maintenance","medium","hard")</f>
        <v>medium</v>
      </c>
      <c r="D87" s="6" t="str">
        <f aca="false">INDEX($P$73:$P$111,MATCH(LARGE($M$73:$M$111,15),$M$73:$M$111,0))</f>
        <v>lat_pulldown</v>
      </c>
      <c r="E87" s="6" t="str">
        <f aca="false">INDEX($N$73:$N$111,MATCH(LARGE($M$73:$M$111,15),$M$73:$M$111,0))</f>
        <v>Biceps, Lats</v>
      </c>
      <c r="K87" s="6" t="str">
        <f aca="false">Parameters!$A$290</f>
        <v>Chin-up</v>
      </c>
      <c r="L87" s="6" t="n">
        <f aca="false">IF(LEFT(Parameters!$B$290,8)="compound",MAX(IF(IFERROR(INDEX($E$29:$E$33,MATCH(Parameters!$C$290,$A$29:$A$33,0)),"")="hard",3,IF(IFERROR(INDEX($E$29:$E$33,MATCH(Parameters!$C$290,$A$29:$A$33,0)),"")="medium",2,IF(IFERROR(INDEX($E$29:$E$33,MATCH(Parameters!$C$290,$A$29:$A$33,0)),"")="maintenance",1,0))),IF(IFERROR(INDEX($E$48:$E$67,MATCH(Parameters!$D$290,$A$48:$A$67,0)),"")="hard",3,IF(IFERROR(INDEX($E$48:$E$67,MATCH(Parameters!$D$290,$A$48:$A$67,0)),"")="medium",2,IF(IFERROR(INDEX($E$48:$E$67,MATCH(Parameters!$D$290,$A$48:$A$67,0)),"")="maintenance",1,0)))),MAX(1,IF(IFERROR(INDEX($E$48:$E$67,MATCH(Parameters!$D$290,$A$48:$A$67,0)),"")="hard",3,IF(IFERROR(INDEX($E$48:$E$67,MATCH(Parameters!$D$290,$A$48:$A$67,0)),"")="medium",2,IF(IFERROR(INDEX($E$48:$E$67,MATCH(Parameters!$D$290,$A$48:$A$67,0)),"")="maintenance",1,0)))))</f>
        <v>2</v>
      </c>
      <c r="M87" s="6" t="n">
        <f aca="false">L87*10+IF(LEFT(Parameters!$B$290,8)="compound",1,0)-ROW()/1000000</f>
        <v>20.999913</v>
      </c>
      <c r="N87" s="0" t="str">
        <f aca="false" t="array" ref="N87:N87">_xlfn.TEXTJOIN(", ",TRUE(),IF(Parameters!$F$290:$Y$290=1,Parameters!$F$275:$Y$275,""))</f>
        <v>Posterior delts, Biceps, Lats</v>
      </c>
      <c r="O87" s="6" t="str">
        <f aca="false">Parameters!$B$290</f>
        <v>compound (major)</v>
      </c>
      <c r="P87" s="6" t="str">
        <f aca="false">IF(Parameters!$E$290="","",Parameters!$E$290)</f>
        <v>chin_up</v>
      </c>
    </row>
    <row r="88" customFormat="false" ht="15" hidden="false" customHeight="false" outlineLevel="0" collapsed="false">
      <c r="A88" s="6" t="str">
        <f aca="false">INDEX($K$73:$K$111,MATCH(LARGE($M$73:$M$111,16),$M$73:$M$111,0))</f>
        <v>Pendlay row</v>
      </c>
      <c r="B88" s="6" t="str">
        <f aca="false">INDEX($O$73:$O$111,MATCH(LARGE($M$73:$M$111,16),$M$73:$M$111,0))</f>
        <v>compound (major)</v>
      </c>
      <c r="C88" s="6" t="str">
        <f aca="false">CHOOSE(INDEX($L$73:$L$111,MATCH(LARGE($M$73:$M$111,16),$M$73:$M$111,0))+1,"none","maintenance","medium","hard")</f>
        <v>medium</v>
      </c>
      <c r="D88" s="6" t="str">
        <f aca="false">INDEX($P$73:$P$111,MATCH(LARGE($M$73:$M$111,16),$M$73:$M$111,0))</f>
        <v>pendlay_row</v>
      </c>
      <c r="E88" s="6" t="str">
        <f aca="false">INDEX($N$73:$N$111,MATCH(LARGE($M$73:$M$111,16),$M$73:$M$111,0))</f>
        <v>Middle traps, Posterior delts, Biceps, Lats</v>
      </c>
      <c r="K88" s="6" t="str">
        <f aca="false">Parameters!$A$291</f>
        <v>Pull-up</v>
      </c>
      <c r="L88" s="6" t="n">
        <f aca="false">IF(LEFT(Parameters!$B$291,8)="compound",MAX(IF(IFERROR(INDEX($E$29:$E$33,MATCH(Parameters!$C$291,$A$29:$A$33,0)),"")="hard",3,IF(IFERROR(INDEX($E$29:$E$33,MATCH(Parameters!$C$291,$A$29:$A$33,0)),"")="medium",2,IF(IFERROR(INDEX($E$29:$E$33,MATCH(Parameters!$C$291,$A$29:$A$33,0)),"")="maintenance",1,0))),IF(IFERROR(INDEX($E$48:$E$67,MATCH(Parameters!$D$291,$A$48:$A$67,0)),"")="hard",3,IF(IFERROR(INDEX($E$48:$E$67,MATCH(Parameters!$D$291,$A$48:$A$67,0)),"")="medium",2,IF(IFERROR(INDEX($E$48:$E$67,MATCH(Parameters!$D$291,$A$48:$A$67,0)),"")="maintenance",1,0)))),MAX(1,IF(IFERROR(INDEX($E$48:$E$67,MATCH(Parameters!$D$291,$A$48:$A$67,0)),"")="hard",3,IF(IFERROR(INDEX($E$48:$E$67,MATCH(Parameters!$D$291,$A$48:$A$67,0)),"")="medium",2,IF(IFERROR(INDEX($E$48:$E$67,MATCH(Parameters!$D$291,$A$48:$A$67,0)),"")="maintenance",1,0)))))</f>
        <v>2</v>
      </c>
      <c r="M88" s="6" t="n">
        <f aca="false">L88*10+IF(LEFT(Parameters!$B$291,8)="compound",1,0)-ROW()/1000000</f>
        <v>20.999912</v>
      </c>
      <c r="N88" s="0" t="str">
        <f aca="false" t="array" ref="N88:N88">_xlfn.TEXTJOIN(", ",TRUE(),IF(Parameters!$F$291:$Y$291=1,Parameters!$F$275:$Y$275,""))</f>
        <v>Lower traps, Biceps, Lats</v>
      </c>
      <c r="O88" s="6" t="str">
        <f aca="false">Parameters!$B$291</f>
        <v>compound (major)</v>
      </c>
      <c r="P88" s="6" t="str">
        <f aca="false">IF(Parameters!$E$291="","",Parameters!$E$291)</f>
        <v>pull_up</v>
      </c>
    </row>
    <row r="89" customFormat="false" ht="15" hidden="false" customHeight="false" outlineLevel="0" collapsed="false">
      <c r="A89" s="6" t="str">
        <f aca="false">INDEX($K$73:$K$111,MATCH(LARGE($M$73:$M$111,17),$M$73:$M$111,0))</f>
        <v>Seated cable row</v>
      </c>
      <c r="B89" s="6" t="str">
        <f aca="false">INDEX($O$73:$O$111,MATCH(LARGE($M$73:$M$111,17),$M$73:$M$111,0))</f>
        <v>compound (major)</v>
      </c>
      <c r="C89" s="6" t="str">
        <f aca="false">CHOOSE(INDEX($L$73:$L$111,MATCH(LARGE($M$73:$M$111,17),$M$73:$M$111,0))+1,"none","maintenance","medium","hard")</f>
        <v>medium</v>
      </c>
      <c r="D89" s="6" t="str">
        <f aca="false">INDEX($P$73:$P$111,MATCH(LARGE($M$73:$M$111,17),$M$73:$M$111,0))</f>
        <v>seated_cable_row</v>
      </c>
      <c r="E89" s="6" t="str">
        <f aca="false">INDEX($N$73:$N$111,MATCH(LARGE($M$73:$M$111,17),$M$73:$M$111,0))</f>
        <v>Middle traps, Posterior delts, Lats</v>
      </c>
      <c r="K89" s="6" t="str">
        <f aca="false">Parameters!$A$292</f>
        <v>Lat pulldown</v>
      </c>
      <c r="L89" s="6" t="n">
        <f aca="false">IF(LEFT(Parameters!$B$292,8)="compound",MAX(IF(IFERROR(INDEX($E$29:$E$33,MATCH(Parameters!$C$292,$A$29:$A$33,0)),"")="hard",3,IF(IFERROR(INDEX($E$29:$E$33,MATCH(Parameters!$C$292,$A$29:$A$33,0)),"")="medium",2,IF(IFERROR(INDEX($E$29:$E$33,MATCH(Parameters!$C$292,$A$29:$A$33,0)),"")="maintenance",1,0))),IF(IFERROR(INDEX($E$48:$E$67,MATCH(Parameters!$D$292,$A$48:$A$67,0)),"")="hard",3,IF(IFERROR(INDEX($E$48:$E$67,MATCH(Parameters!$D$292,$A$48:$A$67,0)),"")="medium",2,IF(IFERROR(INDEX($E$48:$E$67,MATCH(Parameters!$D$292,$A$48:$A$67,0)),"")="maintenance",1,0)))),MAX(1,IF(IFERROR(INDEX($E$48:$E$67,MATCH(Parameters!$D$292,$A$48:$A$67,0)),"")="hard",3,IF(IFERROR(INDEX($E$48:$E$67,MATCH(Parameters!$D$292,$A$48:$A$67,0)),"")="medium",2,IF(IFERROR(INDEX($E$48:$E$67,MATCH(Parameters!$D$292,$A$48:$A$67,0)),"")="maintenance",1,0)))))</f>
        <v>2</v>
      </c>
      <c r="M89" s="6" t="n">
        <f aca="false">L89*10+IF(LEFT(Parameters!$B$292,8)="compound",1,0)-ROW()/1000000</f>
        <v>20.999911</v>
      </c>
      <c r="N89" s="0" t="str">
        <f aca="false" t="array" ref="N89:N89">_xlfn.TEXTJOIN(", ",TRUE(),IF(Parameters!$F$292:$Y$292=1,Parameters!$F$275:$Y$275,""))</f>
        <v>Biceps, Lats</v>
      </c>
      <c r="O89" s="6" t="str">
        <f aca="false">Parameters!$B$292</f>
        <v>compound (major)</v>
      </c>
      <c r="P89" s="6" t="str">
        <f aca="false">IF(Parameters!$E$292="","",Parameters!$E$292)</f>
        <v>lat_pulldown</v>
      </c>
    </row>
    <row r="90" customFormat="false" ht="15" hidden="false" customHeight="false" outlineLevel="0" collapsed="false">
      <c r="A90" s="6" t="str">
        <f aca="false">INDEX($K$73:$K$111,MATCH(LARGE($M$73:$M$111,18),$M$73:$M$111,0))</f>
        <v>Farmer's carry</v>
      </c>
      <c r="B90" s="6" t="str">
        <f aca="false">INDEX($O$73:$O$111,MATCH(LARGE($M$73:$M$111,18),$M$73:$M$111,0))</f>
        <v>compound (major)</v>
      </c>
      <c r="C90" s="6" t="str">
        <f aca="false">CHOOSE(INDEX($L$73:$L$111,MATCH(LARGE($M$73:$M$111,18),$M$73:$M$111,0))+1,"none","maintenance","medium","hard")</f>
        <v>medium</v>
      </c>
      <c r="D90" s="6" t="str">
        <f aca="false">INDEX($P$73:$P$111,MATCH(LARGE($M$73:$M$111,18),$M$73:$M$111,0))</f>
        <v/>
      </c>
      <c r="E90" s="6" t="str">
        <f aca="false">INDEX($N$73:$N$111,MATCH(LARGE($M$73:$M$111,18),$M$73:$M$111,0))</f>
        <v>Upper traps, Forearms, Obliques &amp; serratus</v>
      </c>
      <c r="K90" s="6" t="str">
        <f aca="false">Parameters!$A$293</f>
        <v>Pendlay row</v>
      </c>
      <c r="L90" s="6" t="n">
        <f aca="false">IF(LEFT(Parameters!$B$293,8)="compound",MAX(IF(IFERROR(INDEX($E$29:$E$33,MATCH(Parameters!$C$293,$A$29:$A$33,0)),"")="hard",3,IF(IFERROR(INDEX($E$29:$E$33,MATCH(Parameters!$C$293,$A$29:$A$33,0)),"")="medium",2,IF(IFERROR(INDEX($E$29:$E$33,MATCH(Parameters!$C$293,$A$29:$A$33,0)),"")="maintenance",1,0))),IF(IFERROR(INDEX($E$48:$E$67,MATCH(Parameters!$D$293,$A$48:$A$67,0)),"")="hard",3,IF(IFERROR(INDEX($E$48:$E$67,MATCH(Parameters!$D$293,$A$48:$A$67,0)),"")="medium",2,IF(IFERROR(INDEX($E$48:$E$67,MATCH(Parameters!$D$293,$A$48:$A$67,0)),"")="maintenance",1,0)))),MAX(1,IF(IFERROR(INDEX($E$48:$E$67,MATCH(Parameters!$D$293,$A$48:$A$67,0)),"")="hard",3,IF(IFERROR(INDEX($E$48:$E$67,MATCH(Parameters!$D$293,$A$48:$A$67,0)),"")="medium",2,IF(IFERROR(INDEX($E$48:$E$67,MATCH(Parameters!$D$293,$A$48:$A$67,0)),"")="maintenance",1,0)))))</f>
        <v>2</v>
      </c>
      <c r="M90" s="6" t="n">
        <f aca="false">L90*10+IF(LEFT(Parameters!$B$293,8)="compound",1,0)-ROW()/1000000</f>
        <v>20.99991</v>
      </c>
      <c r="N90" s="0" t="str">
        <f aca="false" t="array" ref="N90:N90">_xlfn.TEXTJOIN(", ",TRUE(),IF(Parameters!$F$293:$Y$293=1,Parameters!$F$275:$Y$275,""))</f>
        <v>Middle traps, Posterior delts, Biceps, Lats</v>
      </c>
      <c r="O90" s="6" t="str">
        <f aca="false">Parameters!$B$293</f>
        <v>compound (major)</v>
      </c>
      <c r="P90" s="6" t="str">
        <f aca="false">IF(Parameters!$E$293="","",Parameters!$E$293)</f>
        <v>pendlay_row</v>
      </c>
    </row>
    <row r="91" customFormat="false" ht="15" hidden="false" customHeight="false" outlineLevel="0" collapsed="false">
      <c r="A91" s="6" t="str">
        <f aca="false">INDEX($K$73:$K$111,MATCH(LARGE($M$73:$M$111,19),$M$73:$M$111,0))</f>
        <v>Adductor machine</v>
      </c>
      <c r="B91" s="6" t="str">
        <f aca="false">INDEX($O$73:$O$111,MATCH(LARGE($M$73:$M$111,19),$M$73:$M$111,0))</f>
        <v>isolation (minor)</v>
      </c>
      <c r="C91" s="6" t="str">
        <f aca="false">CHOOSE(INDEX($L$73:$L$111,MATCH(LARGE($M$73:$M$111,19),$M$73:$M$111,0))+1,"none","maintenance","medium","hard")</f>
        <v>medium</v>
      </c>
      <c r="D91" s="6" t="str">
        <f aca="false">INDEX($P$73:$P$111,MATCH(LARGE($M$73:$M$111,19),$M$73:$M$111,0))</f>
        <v/>
      </c>
      <c r="E91" s="6" t="str">
        <f aca="false">INDEX($N$73:$N$111,MATCH(LARGE($M$73:$M$111,19),$M$73:$M$111,0))</f>
        <v>Hip adductors</v>
      </c>
      <c r="K91" s="6" t="str">
        <f aca="false">Parameters!$A$294</f>
        <v>Seated cable row</v>
      </c>
      <c r="L91" s="6" t="n">
        <f aca="false">IF(LEFT(Parameters!$B$294,8)="compound",MAX(IF(IFERROR(INDEX($E$29:$E$33,MATCH(Parameters!$C$294,$A$29:$A$33,0)),"")="hard",3,IF(IFERROR(INDEX($E$29:$E$33,MATCH(Parameters!$C$294,$A$29:$A$33,0)),"")="medium",2,IF(IFERROR(INDEX($E$29:$E$33,MATCH(Parameters!$C$294,$A$29:$A$33,0)),"")="maintenance",1,0))),IF(IFERROR(INDEX($E$48:$E$67,MATCH(Parameters!$D$294,$A$48:$A$67,0)),"")="hard",3,IF(IFERROR(INDEX($E$48:$E$67,MATCH(Parameters!$D$294,$A$48:$A$67,0)),"")="medium",2,IF(IFERROR(INDEX($E$48:$E$67,MATCH(Parameters!$D$294,$A$48:$A$67,0)),"")="maintenance",1,0)))),MAX(1,IF(IFERROR(INDEX($E$48:$E$67,MATCH(Parameters!$D$294,$A$48:$A$67,0)),"")="hard",3,IF(IFERROR(INDEX($E$48:$E$67,MATCH(Parameters!$D$294,$A$48:$A$67,0)),"")="medium",2,IF(IFERROR(INDEX($E$48:$E$67,MATCH(Parameters!$D$294,$A$48:$A$67,0)),"")="maintenance",1,0)))))</f>
        <v>2</v>
      </c>
      <c r="M91" s="6" t="n">
        <f aca="false">L91*10+IF(LEFT(Parameters!$B$294,8)="compound",1,0)-ROW()/1000000</f>
        <v>20.999909</v>
      </c>
      <c r="N91" s="0" t="str">
        <f aca="false" t="array" ref="N91:N91">_xlfn.TEXTJOIN(", ",TRUE(),IF(Parameters!$F$294:$Y$294=1,Parameters!$F$275:$Y$275,""))</f>
        <v>Middle traps, Posterior delts, Lats</v>
      </c>
      <c r="O91" s="6" t="str">
        <f aca="false">Parameters!$B$294</f>
        <v>compound (major)</v>
      </c>
      <c r="P91" s="6" t="str">
        <f aca="false">IF(Parameters!$E$294="","",Parameters!$E$294)</f>
        <v>seated_cable_row</v>
      </c>
    </row>
    <row r="92" customFormat="false" ht="15" hidden="false" customHeight="false" outlineLevel="0" collapsed="false">
      <c r="A92" s="6" t="str">
        <f aca="false">INDEX($K$73:$K$111,MATCH(LARGE($M$73:$M$111,20),$M$73:$M$111,0))</f>
        <v>Overhead press</v>
      </c>
      <c r="B92" s="6" t="str">
        <f aca="false">INDEX($O$73:$O$111,MATCH(LARGE($M$73:$M$111,20),$M$73:$M$111,0))</f>
        <v>compound (major)</v>
      </c>
      <c r="C92" s="6" t="str">
        <f aca="false">CHOOSE(INDEX($L$73:$L$111,MATCH(LARGE($M$73:$M$111,20),$M$73:$M$111,0))+1,"none","maintenance","medium","hard")</f>
        <v>maintenance</v>
      </c>
      <c r="D92" s="6" t="str">
        <f aca="false">INDEX($P$73:$P$111,MATCH(LARGE($M$73:$M$111,20),$M$73:$M$111,0))</f>
        <v>ohp</v>
      </c>
      <c r="E92" s="6" t="str">
        <f aca="false">INDEX($N$73:$N$111,MATCH(LARGE($M$73:$M$111,20),$M$73:$M$111,0))</f>
        <v>Anterior delts, Lateral delts, Triceps</v>
      </c>
      <c r="K92" s="6" t="str">
        <f aca="false">Parameters!$A$295</f>
        <v>Farmer's carry</v>
      </c>
      <c r="L92" s="6" t="n">
        <f aca="false">IF(LEFT(Parameters!$B$295,8)="compound",MAX(IF(IFERROR(INDEX($E$29:$E$33,MATCH(Parameters!$C$295,$A$29:$A$33,0)),"")="hard",3,IF(IFERROR(INDEX($E$29:$E$33,MATCH(Parameters!$C$295,$A$29:$A$33,0)),"")="medium",2,IF(IFERROR(INDEX($E$29:$E$33,MATCH(Parameters!$C$295,$A$29:$A$33,0)),"")="maintenance",1,0))),IF(IFERROR(INDEX($E$48:$E$67,MATCH(Parameters!$D$295,$A$48:$A$67,0)),"")="hard",3,IF(IFERROR(INDEX($E$48:$E$67,MATCH(Parameters!$D$295,$A$48:$A$67,0)),"")="medium",2,IF(IFERROR(INDEX($E$48:$E$67,MATCH(Parameters!$D$295,$A$48:$A$67,0)),"")="maintenance",1,0)))),MAX(1,IF(IFERROR(INDEX($E$48:$E$67,MATCH(Parameters!$D$295,$A$48:$A$67,0)),"")="hard",3,IF(IFERROR(INDEX($E$48:$E$67,MATCH(Parameters!$D$295,$A$48:$A$67,0)),"")="medium",2,IF(IFERROR(INDEX($E$48:$E$67,MATCH(Parameters!$D$295,$A$48:$A$67,0)),"")="maintenance",1,0)))))</f>
        <v>2</v>
      </c>
      <c r="M92" s="6" t="n">
        <f aca="false">L92*10+IF(LEFT(Parameters!$B$295,8)="compound",1,0)-ROW()/1000000</f>
        <v>20.999908</v>
      </c>
      <c r="N92" s="0" t="str">
        <f aca="false" t="array" ref="N92:N92">_xlfn.TEXTJOIN(", ",TRUE(),IF(Parameters!$F$295:$Y$295=1,Parameters!$F$275:$Y$275,""))</f>
        <v>Upper traps, Forearms, Obliques &amp; serratus</v>
      </c>
      <c r="O92" s="6" t="str">
        <f aca="false">Parameters!$B$295</f>
        <v>compound (major)</v>
      </c>
      <c r="P92" s="6" t="str">
        <f aca="false">IF(Parameters!$E$295="","",Parameters!$E$295)</f>
        <v/>
      </c>
    </row>
    <row r="93" customFormat="false" ht="15" hidden="false" customHeight="false" outlineLevel="0" collapsed="false">
      <c r="A93" s="6" t="str">
        <f aca="false">INDEX($K$73:$K$111,MATCH(LARGE($M$73:$M$111,21),$M$73:$M$111,0))</f>
        <v>Dumbbell shoulder press</v>
      </c>
      <c r="B93" s="6" t="str">
        <f aca="false">INDEX($O$73:$O$111,MATCH(LARGE($M$73:$M$111,21),$M$73:$M$111,0))</f>
        <v>compound (major)</v>
      </c>
      <c r="C93" s="6" t="str">
        <f aca="false">CHOOSE(INDEX($L$73:$L$111,MATCH(LARGE($M$73:$M$111,21),$M$73:$M$111,0))+1,"none","maintenance","medium","hard")</f>
        <v>maintenance</v>
      </c>
      <c r="D93" s="6" t="str">
        <f aca="false">INDEX($P$73:$P$111,MATCH(LARGE($M$73:$M$111,21),$M$73:$M$111,0))</f>
        <v/>
      </c>
      <c r="E93" s="6" t="str">
        <f aca="false">INDEX($N$73:$N$111,MATCH(LARGE($M$73:$M$111,21),$M$73:$M$111,0))</f>
        <v>Anterior delts, Lateral delts, Triceps</v>
      </c>
      <c r="K93" s="6" t="str">
        <f aca="false">Parameters!$A$296</f>
        <v>Leg extension</v>
      </c>
      <c r="L93" s="6" t="n">
        <f aca="false">IF(LEFT(Parameters!$B$296,8)="compound",MAX(IF(IFERROR(INDEX($E$29:$E$33,MATCH(Parameters!$C$296,$A$29:$A$33,0)),"")="hard",3,IF(IFERROR(INDEX($E$29:$E$33,MATCH(Parameters!$C$296,$A$29:$A$33,0)),"")="medium",2,IF(IFERROR(INDEX($E$29:$E$33,MATCH(Parameters!$C$296,$A$29:$A$33,0)),"")="maintenance",1,0))),IF(IFERROR(INDEX($E$48:$E$67,MATCH(Parameters!$D$296,$A$48:$A$67,0)),"")="hard",3,IF(IFERROR(INDEX($E$48:$E$67,MATCH(Parameters!$D$296,$A$48:$A$67,0)),"")="medium",2,IF(IFERROR(INDEX($E$48:$E$67,MATCH(Parameters!$D$296,$A$48:$A$67,0)),"")="maintenance",1,0)))),MAX(1,IF(IFERROR(INDEX($E$48:$E$67,MATCH(Parameters!$D$296,$A$48:$A$67,0)),"")="hard",3,IF(IFERROR(INDEX($E$48:$E$67,MATCH(Parameters!$D$296,$A$48:$A$67,0)),"")="medium",2,IF(IFERROR(INDEX($E$48:$E$67,MATCH(Parameters!$D$296,$A$48:$A$67,0)),"")="maintenance",1,0)))))</f>
        <v>1</v>
      </c>
      <c r="M93" s="6" t="n">
        <f aca="false">L93*10+IF(LEFT(Parameters!$B$296,8)="compound",1,0)-ROW()/1000000</f>
        <v>9.999907</v>
      </c>
      <c r="N93" s="0" t="str">
        <f aca="false" t="array" ref="N93:N93">_xlfn.TEXTJOIN(", ",TRUE(),IF(Parameters!$F$296:$Y$296=1,Parameters!$F$275:$Y$275,""))</f>
        <v>Quads</v>
      </c>
      <c r="O93" s="6" t="str">
        <f aca="false">Parameters!$B$296</f>
        <v>isolation (minor)</v>
      </c>
      <c r="P93" s="6" t="str">
        <f aca="false">IF(Parameters!$E$296="","",Parameters!$E$296)</f>
        <v/>
      </c>
    </row>
    <row r="94" customFormat="false" ht="15" hidden="false" customHeight="false" outlineLevel="0" collapsed="false">
      <c r="A94" s="6" t="str">
        <f aca="false">INDEX($K$73:$K$111,MATCH(LARGE($M$73:$M$111,22),$M$73:$M$111,0))</f>
        <v>Leg extension</v>
      </c>
      <c r="B94" s="6" t="str">
        <f aca="false">INDEX($O$73:$O$111,MATCH(LARGE($M$73:$M$111,22),$M$73:$M$111,0))</f>
        <v>isolation (minor)</v>
      </c>
      <c r="C94" s="6" t="str">
        <f aca="false">CHOOSE(INDEX($L$73:$L$111,MATCH(LARGE($M$73:$M$111,22),$M$73:$M$111,0))+1,"none","maintenance","medium","hard")</f>
        <v>maintenance</v>
      </c>
      <c r="D94" s="6" t="str">
        <f aca="false">INDEX($P$73:$P$111,MATCH(LARGE($M$73:$M$111,22),$M$73:$M$111,0))</f>
        <v/>
      </c>
      <c r="E94" s="6" t="str">
        <f aca="false">INDEX($N$73:$N$111,MATCH(LARGE($M$73:$M$111,22),$M$73:$M$111,0))</f>
        <v>Quads</v>
      </c>
      <c r="K94" s="6" t="str">
        <f aca="false">Parameters!$A$297</f>
        <v>Leg curl</v>
      </c>
      <c r="L94" s="6" t="n">
        <f aca="false">IF(LEFT(Parameters!$B$297,8)="compound",MAX(IF(IFERROR(INDEX($E$29:$E$33,MATCH(Parameters!$C$297,$A$29:$A$33,0)),"")="hard",3,IF(IFERROR(INDEX($E$29:$E$33,MATCH(Parameters!$C$297,$A$29:$A$33,0)),"")="medium",2,IF(IFERROR(INDEX($E$29:$E$33,MATCH(Parameters!$C$297,$A$29:$A$33,0)),"")="maintenance",1,0))),IF(IFERROR(INDEX($E$48:$E$67,MATCH(Parameters!$D$297,$A$48:$A$67,0)),"")="hard",3,IF(IFERROR(INDEX($E$48:$E$67,MATCH(Parameters!$D$297,$A$48:$A$67,0)),"")="medium",2,IF(IFERROR(INDEX($E$48:$E$67,MATCH(Parameters!$D$297,$A$48:$A$67,0)),"")="maintenance",1,0)))),MAX(1,IF(IFERROR(INDEX($E$48:$E$67,MATCH(Parameters!$D$297,$A$48:$A$67,0)),"")="hard",3,IF(IFERROR(INDEX($E$48:$E$67,MATCH(Parameters!$D$297,$A$48:$A$67,0)),"")="medium",2,IF(IFERROR(INDEX($E$48:$E$67,MATCH(Parameters!$D$297,$A$48:$A$67,0)),"")="maintenance",1,0)))))</f>
        <v>1</v>
      </c>
      <c r="M94" s="6" t="n">
        <f aca="false">L94*10+IF(LEFT(Parameters!$B$297,8)="compound",1,0)-ROW()/1000000</f>
        <v>9.999906</v>
      </c>
      <c r="N94" s="0" t="str">
        <f aca="false" t="array" ref="N94:N94">_xlfn.TEXTJOIN(", ",TRUE(),IF(Parameters!$F$297:$Y$297=1,Parameters!$F$275:$Y$275,""))</f>
        <v>Hamstrings</v>
      </c>
      <c r="O94" s="6" t="str">
        <f aca="false">Parameters!$B$297</f>
        <v>isolation (minor)</v>
      </c>
      <c r="P94" s="6" t="str">
        <f aca="false">IF(Parameters!$E$297="","",Parameters!$E$297)</f>
        <v/>
      </c>
    </row>
    <row r="95" customFormat="false" ht="15" hidden="false" customHeight="false" outlineLevel="0" collapsed="false">
      <c r="A95" s="6" t="str">
        <f aca="false">INDEX($K$73:$K$111,MATCH(LARGE($M$73:$M$111,23),$M$73:$M$111,0))</f>
        <v>Leg curl</v>
      </c>
      <c r="B95" s="6" t="str">
        <f aca="false">INDEX($O$73:$O$111,MATCH(LARGE($M$73:$M$111,23),$M$73:$M$111,0))</f>
        <v>isolation (minor)</v>
      </c>
      <c r="C95" s="6" t="str">
        <f aca="false">CHOOSE(INDEX($L$73:$L$111,MATCH(LARGE($M$73:$M$111,23),$M$73:$M$111,0))+1,"none","maintenance","medium","hard")</f>
        <v>maintenance</v>
      </c>
      <c r="D95" s="6" t="str">
        <f aca="false">INDEX($P$73:$P$111,MATCH(LARGE($M$73:$M$111,23),$M$73:$M$111,0))</f>
        <v/>
      </c>
      <c r="E95" s="6" t="str">
        <f aca="false">INDEX($N$73:$N$111,MATCH(LARGE($M$73:$M$111,23),$M$73:$M$111,0))</f>
        <v>Hamstrings</v>
      </c>
      <c r="K95" s="6" t="str">
        <f aca="false">Parameters!$A$298</f>
        <v>Adductor machine</v>
      </c>
      <c r="L95" s="6" t="n">
        <f aca="false">IF(LEFT(Parameters!$B$298,8)="compound",MAX(IF(IFERROR(INDEX($E$29:$E$33,MATCH(Parameters!$C$298,$A$29:$A$33,0)),"")="hard",3,IF(IFERROR(INDEX($E$29:$E$33,MATCH(Parameters!$C$298,$A$29:$A$33,0)),"")="medium",2,IF(IFERROR(INDEX($E$29:$E$33,MATCH(Parameters!$C$298,$A$29:$A$33,0)),"")="maintenance",1,0))),IF(IFERROR(INDEX($E$48:$E$67,MATCH(Parameters!$D$298,$A$48:$A$67,0)),"")="hard",3,IF(IFERROR(INDEX($E$48:$E$67,MATCH(Parameters!$D$298,$A$48:$A$67,0)),"")="medium",2,IF(IFERROR(INDEX($E$48:$E$67,MATCH(Parameters!$D$298,$A$48:$A$67,0)),"")="maintenance",1,0)))),MAX(1,IF(IFERROR(INDEX($E$48:$E$67,MATCH(Parameters!$D$298,$A$48:$A$67,0)),"")="hard",3,IF(IFERROR(INDEX($E$48:$E$67,MATCH(Parameters!$D$298,$A$48:$A$67,0)),"")="medium",2,IF(IFERROR(INDEX($E$48:$E$67,MATCH(Parameters!$D$298,$A$48:$A$67,0)),"")="maintenance",1,0)))))</f>
        <v>2</v>
      </c>
      <c r="M95" s="6" t="n">
        <f aca="false">L95*10+IF(LEFT(Parameters!$B$298,8)="compound",1,0)-ROW()/1000000</f>
        <v>19.999905</v>
      </c>
      <c r="N95" s="0" t="str">
        <f aca="false" t="array" ref="N95:N95">_xlfn.TEXTJOIN(", ",TRUE(),IF(Parameters!$F$298:$Y$298=1,Parameters!$F$275:$Y$275,""))</f>
        <v>Hip adductors</v>
      </c>
      <c r="O95" s="6" t="str">
        <f aca="false">Parameters!$B$298</f>
        <v>isolation (minor)</v>
      </c>
      <c r="P95" s="6" t="str">
        <f aca="false">IF(Parameters!$E$298="","",Parameters!$E$298)</f>
        <v/>
      </c>
    </row>
    <row r="96" customFormat="false" ht="15" hidden="false" customHeight="false" outlineLevel="0" collapsed="false">
      <c r="A96" s="6" t="str">
        <f aca="false">INDEX($K$73:$K$111,MATCH(LARGE($M$73:$M$111,24),$M$73:$M$111,0))</f>
        <v>Standing calf raise</v>
      </c>
      <c r="B96" s="6" t="str">
        <f aca="false">INDEX($O$73:$O$111,MATCH(LARGE($M$73:$M$111,24),$M$73:$M$111,0))</f>
        <v>isolation (minor)</v>
      </c>
      <c r="C96" s="6" t="str">
        <f aca="false">CHOOSE(INDEX($L$73:$L$111,MATCH(LARGE($M$73:$M$111,24),$M$73:$M$111,0))+1,"none","maintenance","medium","hard")</f>
        <v>maintenance</v>
      </c>
      <c r="D96" s="6" t="str">
        <f aca="false">INDEX($P$73:$P$111,MATCH(LARGE($M$73:$M$111,24),$M$73:$M$111,0))</f>
        <v/>
      </c>
      <c r="E96" s="6" t="str">
        <f aca="false">INDEX($N$73:$N$111,MATCH(LARGE($M$73:$M$111,24),$M$73:$M$111,0))</f>
        <v>Calves</v>
      </c>
      <c r="K96" s="6" t="str">
        <f aca="false">Parameters!$A$299</f>
        <v>Standing calf raise</v>
      </c>
      <c r="L96" s="6" t="n">
        <f aca="false">IF(LEFT(Parameters!$B$299,8)="compound",MAX(IF(IFERROR(INDEX($E$29:$E$33,MATCH(Parameters!$C$299,$A$29:$A$33,0)),"")="hard",3,IF(IFERROR(INDEX($E$29:$E$33,MATCH(Parameters!$C$299,$A$29:$A$33,0)),"")="medium",2,IF(IFERROR(INDEX($E$29:$E$33,MATCH(Parameters!$C$299,$A$29:$A$33,0)),"")="maintenance",1,0))),IF(IFERROR(INDEX($E$48:$E$67,MATCH(Parameters!$D$299,$A$48:$A$67,0)),"")="hard",3,IF(IFERROR(INDEX($E$48:$E$67,MATCH(Parameters!$D$299,$A$48:$A$67,0)),"")="medium",2,IF(IFERROR(INDEX($E$48:$E$67,MATCH(Parameters!$D$299,$A$48:$A$67,0)),"")="maintenance",1,0)))),MAX(1,IF(IFERROR(INDEX($E$48:$E$67,MATCH(Parameters!$D$299,$A$48:$A$67,0)),"")="hard",3,IF(IFERROR(INDEX($E$48:$E$67,MATCH(Parameters!$D$299,$A$48:$A$67,0)),"")="medium",2,IF(IFERROR(INDEX($E$48:$E$67,MATCH(Parameters!$D$299,$A$48:$A$67,0)),"")="maintenance",1,0)))))</f>
        <v>1</v>
      </c>
      <c r="M96" s="6" t="n">
        <f aca="false">L96*10+IF(LEFT(Parameters!$B$299,8)="compound",1,0)-ROW()/1000000</f>
        <v>9.999904</v>
      </c>
      <c r="N96" s="0" t="str">
        <f aca="false" t="array" ref="N96:N96">_xlfn.TEXTJOIN(", ",TRUE(),IF(Parameters!$F$299:$Y$299=1,Parameters!$F$275:$Y$275,""))</f>
        <v>Calves</v>
      </c>
      <c r="O96" s="6" t="str">
        <f aca="false">Parameters!$B$299</f>
        <v>isolation (minor)</v>
      </c>
      <c r="P96" s="6" t="str">
        <f aca="false">IF(Parameters!$E$299="","",Parameters!$E$299)</f>
        <v/>
      </c>
    </row>
    <row r="97" customFormat="false" ht="15" hidden="false" customHeight="false" outlineLevel="0" collapsed="false">
      <c r="A97" s="6" t="str">
        <f aca="false">INDEX($K$73:$K$111,MATCH(LARGE($M$73:$M$111,25),$M$73:$M$111,0))</f>
        <v>Seated calf raise</v>
      </c>
      <c r="B97" s="6" t="str">
        <f aca="false">INDEX($O$73:$O$111,MATCH(LARGE($M$73:$M$111,25),$M$73:$M$111,0))</f>
        <v>isolation (minor)</v>
      </c>
      <c r="C97" s="6" t="str">
        <f aca="false">CHOOSE(INDEX($L$73:$L$111,MATCH(LARGE($M$73:$M$111,25),$M$73:$M$111,0))+1,"none","maintenance","medium","hard")</f>
        <v>maintenance</v>
      </c>
      <c r="D97" s="6" t="str">
        <f aca="false">INDEX($P$73:$P$111,MATCH(LARGE($M$73:$M$111,25),$M$73:$M$111,0))</f>
        <v/>
      </c>
      <c r="E97" s="6" t="str">
        <f aca="false">INDEX($N$73:$N$111,MATCH(LARGE($M$73:$M$111,25),$M$73:$M$111,0))</f>
        <v>Calves</v>
      </c>
      <c r="K97" s="6" t="str">
        <f aca="false">Parameters!$A$300</f>
        <v>Seated calf raise</v>
      </c>
      <c r="L97" s="6" t="n">
        <f aca="false">IF(LEFT(Parameters!$B$300,8)="compound",MAX(IF(IFERROR(INDEX($E$29:$E$33,MATCH(Parameters!$C$300,$A$29:$A$33,0)),"")="hard",3,IF(IFERROR(INDEX($E$29:$E$33,MATCH(Parameters!$C$300,$A$29:$A$33,0)),"")="medium",2,IF(IFERROR(INDEX($E$29:$E$33,MATCH(Parameters!$C$300,$A$29:$A$33,0)),"")="maintenance",1,0))),IF(IFERROR(INDEX($E$48:$E$67,MATCH(Parameters!$D$300,$A$48:$A$67,0)),"")="hard",3,IF(IFERROR(INDEX($E$48:$E$67,MATCH(Parameters!$D$300,$A$48:$A$67,0)),"")="medium",2,IF(IFERROR(INDEX($E$48:$E$67,MATCH(Parameters!$D$300,$A$48:$A$67,0)),"")="maintenance",1,0)))),MAX(1,IF(IFERROR(INDEX($E$48:$E$67,MATCH(Parameters!$D$300,$A$48:$A$67,0)),"")="hard",3,IF(IFERROR(INDEX($E$48:$E$67,MATCH(Parameters!$D$300,$A$48:$A$67,0)),"")="medium",2,IF(IFERROR(INDEX($E$48:$E$67,MATCH(Parameters!$D$300,$A$48:$A$67,0)),"")="maintenance",1,0)))))</f>
        <v>1</v>
      </c>
      <c r="M97" s="6" t="n">
        <f aca="false">L97*10+IF(LEFT(Parameters!$B$300,8)="compound",1,0)-ROW()/1000000</f>
        <v>9.999903</v>
      </c>
      <c r="N97" s="0" t="str">
        <f aca="false" t="array" ref="N97:N97">_xlfn.TEXTJOIN(", ",TRUE(),IF(Parameters!$F$300:$Y$300=1,Parameters!$F$275:$Y$275,""))</f>
        <v>Calves</v>
      </c>
      <c r="O97" s="6" t="str">
        <f aca="false">Parameters!$B$300</f>
        <v>isolation (minor)</v>
      </c>
      <c r="P97" s="6" t="str">
        <f aca="false">IF(Parameters!$E$300="","",Parameters!$E$300)</f>
        <v/>
      </c>
    </row>
    <row r="98" customFormat="false" ht="15" hidden="false" customHeight="false" outlineLevel="0" collapsed="false">
      <c r="A98" s="6" t="str">
        <f aca="false">INDEX($K$73:$K$111,MATCH(LARGE($M$73:$M$111,26),$M$73:$M$111,0))</f>
        <v>Back extension</v>
      </c>
      <c r="B98" s="6" t="str">
        <f aca="false">INDEX($O$73:$O$111,MATCH(LARGE($M$73:$M$111,26),$M$73:$M$111,0))</f>
        <v>isolation (minor)</v>
      </c>
      <c r="C98" s="6" t="str">
        <f aca="false">CHOOSE(INDEX($L$73:$L$111,MATCH(LARGE($M$73:$M$111,26),$M$73:$M$111,0))+1,"none","maintenance","medium","hard")</f>
        <v>maintenance</v>
      </c>
      <c r="D98" s="6" t="str">
        <f aca="false">INDEX($P$73:$P$111,MATCH(LARGE($M$73:$M$111,26),$M$73:$M$111,0))</f>
        <v/>
      </c>
      <c r="E98" s="6" t="str">
        <f aca="false">INDEX($N$73:$N$111,MATCH(LARGE($M$73:$M$111,26),$M$73:$M$111,0))</f>
        <v>Spinal erectors, Glutes</v>
      </c>
      <c r="K98" s="6" t="str">
        <f aca="false">Parameters!$A$301</f>
        <v>Back extension</v>
      </c>
      <c r="L98" s="6" t="n">
        <f aca="false">IF(LEFT(Parameters!$B$301,8)="compound",MAX(IF(IFERROR(INDEX($E$29:$E$33,MATCH(Parameters!$C$301,$A$29:$A$33,0)),"")="hard",3,IF(IFERROR(INDEX($E$29:$E$33,MATCH(Parameters!$C$301,$A$29:$A$33,0)),"")="medium",2,IF(IFERROR(INDEX($E$29:$E$33,MATCH(Parameters!$C$301,$A$29:$A$33,0)),"")="maintenance",1,0))),IF(IFERROR(INDEX($E$48:$E$67,MATCH(Parameters!$D$301,$A$48:$A$67,0)),"")="hard",3,IF(IFERROR(INDEX($E$48:$E$67,MATCH(Parameters!$D$301,$A$48:$A$67,0)),"")="medium",2,IF(IFERROR(INDEX($E$48:$E$67,MATCH(Parameters!$D$301,$A$48:$A$67,0)),"")="maintenance",1,0)))),MAX(1,IF(IFERROR(INDEX($E$48:$E$67,MATCH(Parameters!$D$301,$A$48:$A$67,0)),"")="hard",3,IF(IFERROR(INDEX($E$48:$E$67,MATCH(Parameters!$D$301,$A$48:$A$67,0)),"")="medium",2,IF(IFERROR(INDEX($E$48:$E$67,MATCH(Parameters!$D$301,$A$48:$A$67,0)),"")="maintenance",1,0)))))</f>
        <v>1</v>
      </c>
      <c r="M98" s="6" t="n">
        <f aca="false">L98*10+IF(LEFT(Parameters!$B$301,8)="compound",1,0)-ROW()/1000000</f>
        <v>9.999902</v>
      </c>
      <c r="N98" s="0" t="str">
        <f aca="false" t="array" ref="N98:N98">_xlfn.TEXTJOIN(", ",TRUE(),IF(Parameters!$F$301:$Y$301=1,Parameters!$F$275:$Y$275,""))</f>
        <v>Spinal erectors, Glutes</v>
      </c>
      <c r="O98" s="6" t="str">
        <f aca="false">Parameters!$B$301</f>
        <v>isolation (minor)</v>
      </c>
      <c r="P98" s="6" t="str">
        <f aca="false">IF(Parameters!$E$301="","",Parameters!$E$301)</f>
        <v/>
      </c>
    </row>
    <row r="99" customFormat="false" ht="15" hidden="false" customHeight="false" outlineLevel="0" collapsed="false">
      <c r="A99" s="6" t="str">
        <f aca="false">INDEX($K$73:$K$111,MATCH(LARGE($M$73:$M$111,27),$M$73:$M$111,0))</f>
        <v>Hanging leg raise</v>
      </c>
      <c r="B99" s="6" t="str">
        <f aca="false">INDEX($O$73:$O$111,MATCH(LARGE($M$73:$M$111,27),$M$73:$M$111,0))</f>
        <v>isolation (minor)</v>
      </c>
      <c r="C99" s="6" t="str">
        <f aca="false">CHOOSE(INDEX($L$73:$L$111,MATCH(LARGE($M$73:$M$111,27),$M$73:$M$111,0))+1,"none","maintenance","medium","hard")</f>
        <v>maintenance</v>
      </c>
      <c r="D99" s="6" t="str">
        <f aca="false">INDEX($P$73:$P$111,MATCH(LARGE($M$73:$M$111,27),$M$73:$M$111,0))</f>
        <v/>
      </c>
      <c r="E99" s="6" t="str">
        <f aca="false">INDEX($N$73:$N$111,MATCH(LARGE($M$73:$M$111,27),$M$73:$M$111,0))</f>
        <v>Abdominals, Hip flexors</v>
      </c>
      <c r="K99" s="6" t="str">
        <f aca="false">Parameters!$A$302</f>
        <v>Hanging leg raise</v>
      </c>
      <c r="L99" s="6" t="n">
        <f aca="false">IF(LEFT(Parameters!$B$302,8)="compound",MAX(IF(IFERROR(INDEX($E$29:$E$33,MATCH(Parameters!$C$302,$A$29:$A$33,0)),"")="hard",3,IF(IFERROR(INDEX($E$29:$E$33,MATCH(Parameters!$C$302,$A$29:$A$33,0)),"")="medium",2,IF(IFERROR(INDEX($E$29:$E$33,MATCH(Parameters!$C$302,$A$29:$A$33,0)),"")="maintenance",1,0))),IF(IFERROR(INDEX($E$48:$E$67,MATCH(Parameters!$D$302,$A$48:$A$67,0)),"")="hard",3,IF(IFERROR(INDEX($E$48:$E$67,MATCH(Parameters!$D$302,$A$48:$A$67,0)),"")="medium",2,IF(IFERROR(INDEX($E$48:$E$67,MATCH(Parameters!$D$302,$A$48:$A$67,0)),"")="maintenance",1,0)))),MAX(1,IF(IFERROR(INDEX($E$48:$E$67,MATCH(Parameters!$D$302,$A$48:$A$67,0)),"")="hard",3,IF(IFERROR(INDEX($E$48:$E$67,MATCH(Parameters!$D$302,$A$48:$A$67,0)),"")="medium",2,IF(IFERROR(INDEX($E$48:$E$67,MATCH(Parameters!$D$302,$A$48:$A$67,0)),"")="maintenance",1,0)))))</f>
        <v>1</v>
      </c>
      <c r="M99" s="6" t="n">
        <f aca="false">L99*10+IF(LEFT(Parameters!$B$302,8)="compound",1,0)-ROW()/1000000</f>
        <v>9.999901</v>
      </c>
      <c r="N99" s="0" t="str">
        <f aca="false" t="array" ref="N99:N99">_xlfn.TEXTJOIN(", ",TRUE(),IF(Parameters!$F$302:$Y$302=1,Parameters!$F$275:$Y$275,""))</f>
        <v>Abdominals, Hip flexors</v>
      </c>
      <c r="O99" s="6" t="str">
        <f aca="false">Parameters!$B$302</f>
        <v>isolation (minor)</v>
      </c>
      <c r="P99" s="6" t="str">
        <f aca="false">IF(Parameters!$E$302="","",Parameters!$E$302)</f>
        <v/>
      </c>
    </row>
    <row r="100" customFormat="false" ht="15" hidden="false" customHeight="false" outlineLevel="0" collapsed="false">
      <c r="A100" s="6" t="str">
        <f aca="false">INDEX($K$73:$K$111,MATCH(LARGE($M$73:$M$111,28),$M$73:$M$111,0))</f>
        <v>Cable crunch</v>
      </c>
      <c r="B100" s="6" t="str">
        <f aca="false">INDEX($O$73:$O$111,MATCH(LARGE($M$73:$M$111,28),$M$73:$M$111,0))</f>
        <v>isolation (minor)</v>
      </c>
      <c r="C100" s="6" t="str">
        <f aca="false">CHOOSE(INDEX($L$73:$L$111,MATCH(LARGE($M$73:$M$111,28),$M$73:$M$111,0))+1,"none","maintenance","medium","hard")</f>
        <v>maintenance</v>
      </c>
      <c r="D100" s="6" t="str">
        <f aca="false">INDEX($P$73:$P$111,MATCH(LARGE($M$73:$M$111,28),$M$73:$M$111,0))</f>
        <v/>
      </c>
      <c r="E100" s="6" t="str">
        <f aca="false">INDEX($N$73:$N$111,MATCH(LARGE($M$73:$M$111,28),$M$73:$M$111,0))</f>
        <v>Abdominals</v>
      </c>
      <c r="K100" s="6" t="str">
        <f aca="false">Parameters!$A$303</f>
        <v>Cable crunch</v>
      </c>
      <c r="L100" s="6" t="n">
        <f aca="false">IF(LEFT(Parameters!$B$303,8)="compound",MAX(IF(IFERROR(INDEX($E$29:$E$33,MATCH(Parameters!$C$303,$A$29:$A$33,0)),"")="hard",3,IF(IFERROR(INDEX($E$29:$E$33,MATCH(Parameters!$C$303,$A$29:$A$33,0)),"")="medium",2,IF(IFERROR(INDEX($E$29:$E$33,MATCH(Parameters!$C$303,$A$29:$A$33,0)),"")="maintenance",1,0))),IF(IFERROR(INDEX($E$48:$E$67,MATCH(Parameters!$D$303,$A$48:$A$67,0)),"")="hard",3,IF(IFERROR(INDEX($E$48:$E$67,MATCH(Parameters!$D$303,$A$48:$A$67,0)),"")="medium",2,IF(IFERROR(INDEX($E$48:$E$67,MATCH(Parameters!$D$303,$A$48:$A$67,0)),"")="maintenance",1,0)))),MAX(1,IF(IFERROR(INDEX($E$48:$E$67,MATCH(Parameters!$D$303,$A$48:$A$67,0)),"")="hard",3,IF(IFERROR(INDEX($E$48:$E$67,MATCH(Parameters!$D$303,$A$48:$A$67,0)),"")="medium",2,IF(IFERROR(INDEX($E$48:$E$67,MATCH(Parameters!$D$303,$A$48:$A$67,0)),"")="maintenance",1,0)))))</f>
        <v>1</v>
      </c>
      <c r="M100" s="6" t="n">
        <f aca="false">L100*10+IF(LEFT(Parameters!$B$303,8)="compound",1,0)-ROW()/1000000</f>
        <v>9.9999</v>
      </c>
      <c r="N100" s="0" t="str">
        <f aca="false" t="array" ref="N100:N100">_xlfn.TEXTJOIN(", ",TRUE(),IF(Parameters!$F$303:$Y$303=1,Parameters!$F$275:$Y$275,""))</f>
        <v>Abdominals</v>
      </c>
      <c r="O100" s="6" t="str">
        <f aca="false">Parameters!$B$303</f>
        <v>isolation (minor)</v>
      </c>
      <c r="P100" s="6" t="str">
        <f aca="false">IF(Parameters!$E$303="","",Parameters!$E$303)</f>
        <v/>
      </c>
    </row>
    <row r="101" customFormat="false" ht="15" hidden="false" customHeight="false" outlineLevel="0" collapsed="false">
      <c r="A101" s="6" t="str">
        <f aca="false">INDEX($K$73:$K$111,MATCH(LARGE($M$73:$M$111,29),$M$73:$M$111,0))</f>
        <v>Lateral raise</v>
      </c>
      <c r="B101" s="6" t="str">
        <f aca="false">INDEX($O$73:$O$111,MATCH(LARGE($M$73:$M$111,29),$M$73:$M$111,0))</f>
        <v>isolation (minor)</v>
      </c>
      <c r="C101" s="6" t="str">
        <f aca="false">CHOOSE(INDEX($L$73:$L$111,MATCH(LARGE($M$73:$M$111,29),$M$73:$M$111,0))+1,"none","maintenance","medium","hard")</f>
        <v>maintenance</v>
      </c>
      <c r="D101" s="6" t="str">
        <f aca="false">INDEX($P$73:$P$111,MATCH(LARGE($M$73:$M$111,29),$M$73:$M$111,0))</f>
        <v/>
      </c>
      <c r="E101" s="6" t="str">
        <f aca="false">INDEX($N$73:$N$111,MATCH(LARGE($M$73:$M$111,29),$M$73:$M$111,0))</f>
        <v>Lateral delts</v>
      </c>
      <c r="K101" s="6" t="str">
        <f aca="false">Parameters!$A$304</f>
        <v>Lateral raise</v>
      </c>
      <c r="L101" s="6" t="n">
        <f aca="false">IF(LEFT(Parameters!$B$304,8)="compound",MAX(IF(IFERROR(INDEX($E$29:$E$33,MATCH(Parameters!$C$304,$A$29:$A$33,0)),"")="hard",3,IF(IFERROR(INDEX($E$29:$E$33,MATCH(Parameters!$C$304,$A$29:$A$33,0)),"")="medium",2,IF(IFERROR(INDEX($E$29:$E$33,MATCH(Parameters!$C$304,$A$29:$A$33,0)),"")="maintenance",1,0))),IF(IFERROR(INDEX($E$48:$E$67,MATCH(Parameters!$D$304,$A$48:$A$67,0)),"")="hard",3,IF(IFERROR(INDEX($E$48:$E$67,MATCH(Parameters!$D$304,$A$48:$A$67,0)),"")="medium",2,IF(IFERROR(INDEX($E$48:$E$67,MATCH(Parameters!$D$304,$A$48:$A$67,0)),"")="maintenance",1,0)))),MAX(1,IF(IFERROR(INDEX($E$48:$E$67,MATCH(Parameters!$D$304,$A$48:$A$67,0)),"")="hard",3,IF(IFERROR(INDEX($E$48:$E$67,MATCH(Parameters!$D$304,$A$48:$A$67,0)),"")="medium",2,IF(IFERROR(INDEX($E$48:$E$67,MATCH(Parameters!$D$304,$A$48:$A$67,0)),"")="maintenance",1,0)))))</f>
        <v>1</v>
      </c>
      <c r="M101" s="6" t="n">
        <f aca="false">L101*10+IF(LEFT(Parameters!$B$304,8)="compound",1,0)-ROW()/1000000</f>
        <v>9.999899</v>
      </c>
      <c r="N101" s="0" t="str">
        <f aca="false" t="array" ref="N101:N101">_xlfn.TEXTJOIN(", ",TRUE(),IF(Parameters!$F$304:$Y$304=1,Parameters!$F$275:$Y$275,""))</f>
        <v>Lateral delts</v>
      </c>
      <c r="O101" s="6" t="str">
        <f aca="false">Parameters!$B$304</f>
        <v>isolation (minor)</v>
      </c>
      <c r="P101" s="6" t="str">
        <f aca="false">IF(Parameters!$E$304="","",Parameters!$E$304)</f>
        <v/>
      </c>
    </row>
    <row r="102" customFormat="false" ht="15" hidden="false" customHeight="false" outlineLevel="0" collapsed="false">
      <c r="A102" s="6" t="str">
        <f aca="false">INDEX($K$73:$K$111,MATCH(LARGE($M$73:$M$111,30),$M$73:$M$111,0))</f>
        <v>Rear-delt fly / face pull</v>
      </c>
      <c r="B102" s="6" t="str">
        <f aca="false">INDEX($O$73:$O$111,MATCH(LARGE($M$73:$M$111,30),$M$73:$M$111,0))</f>
        <v>isolation (minor)</v>
      </c>
      <c r="C102" s="6" t="str">
        <f aca="false">CHOOSE(INDEX($L$73:$L$111,MATCH(LARGE($M$73:$M$111,30),$M$73:$M$111,0))+1,"none","maintenance","medium","hard")</f>
        <v>maintenance</v>
      </c>
      <c r="D102" s="6" t="str">
        <f aca="false">INDEX($P$73:$P$111,MATCH(LARGE($M$73:$M$111,30),$M$73:$M$111,0))</f>
        <v/>
      </c>
      <c r="E102" s="6" t="str">
        <f aca="false">INDEX($N$73:$N$111,MATCH(LARGE($M$73:$M$111,30),$M$73:$M$111,0))</f>
        <v>Middle traps, Posterior delts</v>
      </c>
      <c r="K102" s="6" t="str">
        <f aca="false">Parameters!$A$305</f>
        <v>Rear-delt fly / face pull</v>
      </c>
      <c r="L102" s="6" t="n">
        <f aca="false">IF(LEFT(Parameters!$B$305,8)="compound",MAX(IF(IFERROR(INDEX($E$29:$E$33,MATCH(Parameters!$C$305,$A$29:$A$33,0)),"")="hard",3,IF(IFERROR(INDEX($E$29:$E$33,MATCH(Parameters!$C$305,$A$29:$A$33,0)),"")="medium",2,IF(IFERROR(INDEX($E$29:$E$33,MATCH(Parameters!$C$305,$A$29:$A$33,0)),"")="maintenance",1,0))),IF(IFERROR(INDEX($E$48:$E$67,MATCH(Parameters!$D$305,$A$48:$A$67,0)),"")="hard",3,IF(IFERROR(INDEX($E$48:$E$67,MATCH(Parameters!$D$305,$A$48:$A$67,0)),"")="medium",2,IF(IFERROR(INDEX($E$48:$E$67,MATCH(Parameters!$D$305,$A$48:$A$67,0)),"")="maintenance",1,0)))),MAX(1,IF(IFERROR(INDEX($E$48:$E$67,MATCH(Parameters!$D$305,$A$48:$A$67,0)),"")="hard",3,IF(IFERROR(INDEX($E$48:$E$67,MATCH(Parameters!$D$305,$A$48:$A$67,0)),"")="medium",2,IF(IFERROR(INDEX($E$48:$E$67,MATCH(Parameters!$D$305,$A$48:$A$67,0)),"")="maintenance",1,0)))))</f>
        <v>1</v>
      </c>
      <c r="M102" s="6" t="n">
        <f aca="false">L102*10+IF(LEFT(Parameters!$B$305,8)="compound",1,0)-ROW()/1000000</f>
        <v>9.999898</v>
      </c>
      <c r="N102" s="0" t="str">
        <f aca="false" t="array" ref="N102:N102">_xlfn.TEXTJOIN(", ",TRUE(),IF(Parameters!$F$305:$Y$305=1,Parameters!$F$275:$Y$275,""))</f>
        <v>Middle traps, Posterior delts</v>
      </c>
      <c r="O102" s="6" t="str">
        <f aca="false">Parameters!$B$305</f>
        <v>isolation (minor)</v>
      </c>
      <c r="P102" s="6" t="str">
        <f aca="false">IF(Parameters!$E$305="","",Parameters!$E$305)</f>
        <v/>
      </c>
    </row>
    <row r="103" customFormat="false" ht="15" hidden="false" customHeight="false" outlineLevel="0" collapsed="false">
      <c r="A103" s="6" t="str">
        <f aca="false">INDEX($K$73:$K$111,MATCH(LARGE($M$73:$M$111,31),$M$73:$M$111,0))</f>
        <v>Cable or dumbbell fly</v>
      </c>
      <c r="B103" s="6" t="str">
        <f aca="false">INDEX($O$73:$O$111,MATCH(LARGE($M$73:$M$111,31),$M$73:$M$111,0))</f>
        <v>isolation (minor)</v>
      </c>
      <c r="C103" s="6" t="str">
        <f aca="false">CHOOSE(INDEX($L$73:$L$111,MATCH(LARGE($M$73:$M$111,31),$M$73:$M$111,0))+1,"none","maintenance","medium","hard")</f>
        <v>maintenance</v>
      </c>
      <c r="D103" s="6" t="str">
        <f aca="false">INDEX($P$73:$P$111,MATCH(LARGE($M$73:$M$111,31),$M$73:$M$111,0))</f>
        <v/>
      </c>
      <c r="E103" s="6" t="str">
        <f aca="false">INDEX($N$73:$N$111,MATCH(LARGE($M$73:$M$111,31),$M$73:$M$111,0))</f>
        <v>Pecs</v>
      </c>
      <c r="K103" s="6" t="str">
        <f aca="false">Parameters!$A$306</f>
        <v>Cable or dumbbell fly</v>
      </c>
      <c r="L103" s="6" t="n">
        <f aca="false">IF(LEFT(Parameters!$B$306,8)="compound",MAX(IF(IFERROR(INDEX($E$29:$E$33,MATCH(Parameters!$C$306,$A$29:$A$33,0)),"")="hard",3,IF(IFERROR(INDEX($E$29:$E$33,MATCH(Parameters!$C$306,$A$29:$A$33,0)),"")="medium",2,IF(IFERROR(INDEX($E$29:$E$33,MATCH(Parameters!$C$306,$A$29:$A$33,0)),"")="maintenance",1,0))),IF(IFERROR(INDEX($E$48:$E$67,MATCH(Parameters!$D$306,$A$48:$A$67,0)),"")="hard",3,IF(IFERROR(INDEX($E$48:$E$67,MATCH(Parameters!$D$306,$A$48:$A$67,0)),"")="medium",2,IF(IFERROR(INDEX($E$48:$E$67,MATCH(Parameters!$D$306,$A$48:$A$67,0)),"")="maintenance",1,0)))),MAX(1,IF(IFERROR(INDEX($E$48:$E$67,MATCH(Parameters!$D$306,$A$48:$A$67,0)),"")="hard",3,IF(IFERROR(INDEX($E$48:$E$67,MATCH(Parameters!$D$306,$A$48:$A$67,0)),"")="medium",2,IF(IFERROR(INDEX($E$48:$E$67,MATCH(Parameters!$D$306,$A$48:$A$67,0)),"")="maintenance",1,0)))))</f>
        <v>1</v>
      </c>
      <c r="M103" s="6" t="n">
        <f aca="false">L103*10+IF(LEFT(Parameters!$B$306,8)="compound",1,0)-ROW()/1000000</f>
        <v>9.999897</v>
      </c>
      <c r="N103" s="0" t="str">
        <f aca="false" t="array" ref="N103:N103">_xlfn.TEXTJOIN(", ",TRUE(),IF(Parameters!$F$306:$Y$306=1,Parameters!$F$275:$Y$275,""))</f>
        <v>Pecs</v>
      </c>
      <c r="O103" s="6" t="str">
        <f aca="false">Parameters!$B$306</f>
        <v>isolation (minor)</v>
      </c>
      <c r="P103" s="6" t="str">
        <f aca="false">IF(Parameters!$E$306="","",Parameters!$E$306)</f>
        <v/>
      </c>
    </row>
    <row r="104" customFormat="false" ht="15" hidden="false" customHeight="false" outlineLevel="0" collapsed="false">
      <c r="A104" s="6" t="str">
        <f aca="false">INDEX($K$73:$K$111,MATCH(LARGE($M$73:$M$111,32),$M$73:$M$111,0))</f>
        <v>Barbell curl</v>
      </c>
      <c r="B104" s="6" t="str">
        <f aca="false">INDEX($O$73:$O$111,MATCH(LARGE($M$73:$M$111,32),$M$73:$M$111,0))</f>
        <v>isolation (minor)</v>
      </c>
      <c r="C104" s="6" t="str">
        <f aca="false">CHOOSE(INDEX($L$73:$L$111,MATCH(LARGE($M$73:$M$111,32),$M$73:$M$111,0))+1,"none","maintenance","medium","hard")</f>
        <v>maintenance</v>
      </c>
      <c r="D104" s="6" t="str">
        <f aca="false">INDEX($P$73:$P$111,MATCH(LARGE($M$73:$M$111,32),$M$73:$M$111,0))</f>
        <v/>
      </c>
      <c r="E104" s="6" t="str">
        <f aca="false">INDEX($N$73:$N$111,MATCH(LARGE($M$73:$M$111,32),$M$73:$M$111,0))</f>
        <v>Biceps</v>
      </c>
      <c r="K104" s="6" t="str">
        <f aca="false">Parameters!$A$307</f>
        <v>Barbell curl</v>
      </c>
      <c r="L104" s="6" t="n">
        <f aca="false">IF(LEFT(Parameters!$B$307,8)="compound",MAX(IF(IFERROR(INDEX($E$29:$E$33,MATCH(Parameters!$C$307,$A$29:$A$33,0)),"")="hard",3,IF(IFERROR(INDEX($E$29:$E$33,MATCH(Parameters!$C$307,$A$29:$A$33,0)),"")="medium",2,IF(IFERROR(INDEX($E$29:$E$33,MATCH(Parameters!$C$307,$A$29:$A$33,0)),"")="maintenance",1,0))),IF(IFERROR(INDEX($E$48:$E$67,MATCH(Parameters!$D$307,$A$48:$A$67,0)),"")="hard",3,IF(IFERROR(INDEX($E$48:$E$67,MATCH(Parameters!$D$307,$A$48:$A$67,0)),"")="medium",2,IF(IFERROR(INDEX($E$48:$E$67,MATCH(Parameters!$D$307,$A$48:$A$67,0)),"")="maintenance",1,0)))),MAX(1,IF(IFERROR(INDEX($E$48:$E$67,MATCH(Parameters!$D$307,$A$48:$A$67,0)),"")="hard",3,IF(IFERROR(INDEX($E$48:$E$67,MATCH(Parameters!$D$307,$A$48:$A$67,0)),"")="medium",2,IF(IFERROR(INDEX($E$48:$E$67,MATCH(Parameters!$D$307,$A$48:$A$67,0)),"")="maintenance",1,0)))))</f>
        <v>1</v>
      </c>
      <c r="M104" s="6" t="n">
        <f aca="false">L104*10+IF(LEFT(Parameters!$B$307,8)="compound",1,0)-ROW()/1000000</f>
        <v>9.999896</v>
      </c>
      <c r="N104" s="0" t="str">
        <f aca="false" t="array" ref="N104:N104">_xlfn.TEXTJOIN(", ",TRUE(),IF(Parameters!$F$307:$Y$307=1,Parameters!$F$275:$Y$275,""))</f>
        <v>Biceps</v>
      </c>
      <c r="O104" s="6" t="str">
        <f aca="false">Parameters!$B$307</f>
        <v>isolation (minor)</v>
      </c>
      <c r="P104" s="6" t="str">
        <f aca="false">IF(Parameters!$E$307="","",Parameters!$E$307)</f>
        <v/>
      </c>
    </row>
    <row r="105" customFormat="false" ht="15" hidden="false" customHeight="false" outlineLevel="0" collapsed="false">
      <c r="A105" s="6" t="str">
        <f aca="false">INDEX($K$73:$K$111,MATCH(LARGE($M$73:$M$111,33),$M$73:$M$111,0))</f>
        <v>Incline dumbbell curl</v>
      </c>
      <c r="B105" s="6" t="str">
        <f aca="false">INDEX($O$73:$O$111,MATCH(LARGE($M$73:$M$111,33),$M$73:$M$111,0))</f>
        <v>isolation (minor)</v>
      </c>
      <c r="C105" s="6" t="str">
        <f aca="false">CHOOSE(INDEX($L$73:$L$111,MATCH(LARGE($M$73:$M$111,33),$M$73:$M$111,0))+1,"none","maintenance","medium","hard")</f>
        <v>maintenance</v>
      </c>
      <c r="D105" s="6" t="str">
        <f aca="false">INDEX($P$73:$P$111,MATCH(LARGE($M$73:$M$111,33),$M$73:$M$111,0))</f>
        <v/>
      </c>
      <c r="E105" s="6" t="str">
        <f aca="false">INDEX($N$73:$N$111,MATCH(LARGE($M$73:$M$111,33),$M$73:$M$111,0))</f>
        <v>Biceps</v>
      </c>
      <c r="K105" s="6" t="str">
        <f aca="false">Parameters!$A$308</f>
        <v>Incline dumbbell curl</v>
      </c>
      <c r="L105" s="6" t="n">
        <f aca="false">IF(LEFT(Parameters!$B$308,8)="compound",MAX(IF(IFERROR(INDEX($E$29:$E$33,MATCH(Parameters!$C$308,$A$29:$A$33,0)),"")="hard",3,IF(IFERROR(INDEX($E$29:$E$33,MATCH(Parameters!$C$308,$A$29:$A$33,0)),"")="medium",2,IF(IFERROR(INDEX($E$29:$E$33,MATCH(Parameters!$C$308,$A$29:$A$33,0)),"")="maintenance",1,0))),IF(IFERROR(INDEX($E$48:$E$67,MATCH(Parameters!$D$308,$A$48:$A$67,0)),"")="hard",3,IF(IFERROR(INDEX($E$48:$E$67,MATCH(Parameters!$D$308,$A$48:$A$67,0)),"")="medium",2,IF(IFERROR(INDEX($E$48:$E$67,MATCH(Parameters!$D$308,$A$48:$A$67,0)),"")="maintenance",1,0)))),MAX(1,IF(IFERROR(INDEX($E$48:$E$67,MATCH(Parameters!$D$308,$A$48:$A$67,0)),"")="hard",3,IF(IFERROR(INDEX($E$48:$E$67,MATCH(Parameters!$D$308,$A$48:$A$67,0)),"")="medium",2,IF(IFERROR(INDEX($E$48:$E$67,MATCH(Parameters!$D$308,$A$48:$A$67,0)),"")="maintenance",1,0)))))</f>
        <v>1</v>
      </c>
      <c r="M105" s="6" t="n">
        <f aca="false">L105*10+IF(LEFT(Parameters!$B$308,8)="compound",1,0)-ROW()/1000000</f>
        <v>9.999895</v>
      </c>
      <c r="N105" s="0" t="str">
        <f aca="false" t="array" ref="N105:N105">_xlfn.TEXTJOIN(", ",TRUE(),IF(Parameters!$F$308:$Y$308=1,Parameters!$F$275:$Y$275,""))</f>
        <v>Biceps</v>
      </c>
      <c r="O105" s="6" t="str">
        <f aca="false">Parameters!$B$308</f>
        <v>isolation (minor)</v>
      </c>
      <c r="P105" s="6" t="str">
        <f aca="false">IF(Parameters!$E$308="","",Parameters!$E$308)</f>
        <v/>
      </c>
    </row>
    <row r="106" customFormat="false" ht="15" hidden="false" customHeight="false" outlineLevel="0" collapsed="false">
      <c r="A106" s="6" t="str">
        <f aca="false">INDEX($K$73:$K$111,MATCH(LARGE($M$73:$M$111,34),$M$73:$M$111,0))</f>
        <v>Hammer curl</v>
      </c>
      <c r="B106" s="6" t="str">
        <f aca="false">INDEX($O$73:$O$111,MATCH(LARGE($M$73:$M$111,34),$M$73:$M$111,0))</f>
        <v>isolation (minor)</v>
      </c>
      <c r="C106" s="6" t="str">
        <f aca="false">CHOOSE(INDEX($L$73:$L$111,MATCH(LARGE($M$73:$M$111,34),$M$73:$M$111,0))+1,"none","maintenance","medium","hard")</f>
        <v>maintenance</v>
      </c>
      <c r="D106" s="6" t="str">
        <f aca="false">INDEX($P$73:$P$111,MATCH(LARGE($M$73:$M$111,34),$M$73:$M$111,0))</f>
        <v/>
      </c>
      <c r="E106" s="6" t="str">
        <f aca="false">INDEX($N$73:$N$111,MATCH(LARGE($M$73:$M$111,34),$M$73:$M$111,0))</f>
        <v>Biceps, Forearms</v>
      </c>
      <c r="K106" s="6" t="str">
        <f aca="false">Parameters!$A$309</f>
        <v>Hammer curl</v>
      </c>
      <c r="L106" s="6" t="n">
        <f aca="false">IF(LEFT(Parameters!$B$309,8)="compound",MAX(IF(IFERROR(INDEX($E$29:$E$33,MATCH(Parameters!$C$309,$A$29:$A$33,0)),"")="hard",3,IF(IFERROR(INDEX($E$29:$E$33,MATCH(Parameters!$C$309,$A$29:$A$33,0)),"")="medium",2,IF(IFERROR(INDEX($E$29:$E$33,MATCH(Parameters!$C$309,$A$29:$A$33,0)),"")="maintenance",1,0))),IF(IFERROR(INDEX($E$48:$E$67,MATCH(Parameters!$D$309,$A$48:$A$67,0)),"")="hard",3,IF(IFERROR(INDEX($E$48:$E$67,MATCH(Parameters!$D$309,$A$48:$A$67,0)),"")="medium",2,IF(IFERROR(INDEX($E$48:$E$67,MATCH(Parameters!$D$309,$A$48:$A$67,0)),"")="maintenance",1,0)))),MAX(1,IF(IFERROR(INDEX($E$48:$E$67,MATCH(Parameters!$D$309,$A$48:$A$67,0)),"")="hard",3,IF(IFERROR(INDEX($E$48:$E$67,MATCH(Parameters!$D$309,$A$48:$A$67,0)),"")="medium",2,IF(IFERROR(INDEX($E$48:$E$67,MATCH(Parameters!$D$309,$A$48:$A$67,0)),"")="maintenance",1,0)))))</f>
        <v>1</v>
      </c>
      <c r="M106" s="6" t="n">
        <f aca="false">L106*10+IF(LEFT(Parameters!$B$309,8)="compound",1,0)-ROW()/1000000</f>
        <v>9.999894</v>
      </c>
      <c r="N106" s="0" t="str">
        <f aca="false" t="array" ref="N106:N106">_xlfn.TEXTJOIN(", ",TRUE(),IF(Parameters!$F$309:$Y$309=1,Parameters!$F$275:$Y$275,""))</f>
        <v>Biceps, Forearms</v>
      </c>
      <c r="O106" s="6" t="str">
        <f aca="false">Parameters!$B$309</f>
        <v>isolation (minor)</v>
      </c>
      <c r="P106" s="6" t="str">
        <f aca="false">IF(Parameters!$E$309="","",Parameters!$E$309)</f>
        <v/>
      </c>
    </row>
    <row r="107" customFormat="false" ht="15" hidden="false" customHeight="false" outlineLevel="0" collapsed="false">
      <c r="A107" s="6" t="str">
        <f aca="false">INDEX($K$73:$K$111,MATCH(LARGE($M$73:$M$111,35),$M$73:$M$111,0))</f>
        <v>Triceps pushdown</v>
      </c>
      <c r="B107" s="6" t="str">
        <f aca="false">INDEX($O$73:$O$111,MATCH(LARGE($M$73:$M$111,35),$M$73:$M$111,0))</f>
        <v>isolation (minor)</v>
      </c>
      <c r="C107" s="6" t="str">
        <f aca="false">CHOOSE(INDEX($L$73:$L$111,MATCH(LARGE($M$73:$M$111,35),$M$73:$M$111,0))+1,"none","maintenance","medium","hard")</f>
        <v>maintenance</v>
      </c>
      <c r="D107" s="6" t="str">
        <f aca="false">INDEX($P$73:$P$111,MATCH(LARGE($M$73:$M$111,35),$M$73:$M$111,0))</f>
        <v/>
      </c>
      <c r="E107" s="6" t="str">
        <f aca="false">INDEX($N$73:$N$111,MATCH(LARGE($M$73:$M$111,35),$M$73:$M$111,0))</f>
        <v>Triceps</v>
      </c>
      <c r="K107" s="6" t="str">
        <f aca="false">Parameters!$A$310</f>
        <v>Triceps pushdown</v>
      </c>
      <c r="L107" s="6" t="n">
        <f aca="false">IF(LEFT(Parameters!$B$310,8)="compound",MAX(IF(IFERROR(INDEX($E$29:$E$33,MATCH(Parameters!$C$310,$A$29:$A$33,0)),"")="hard",3,IF(IFERROR(INDEX($E$29:$E$33,MATCH(Parameters!$C$310,$A$29:$A$33,0)),"")="medium",2,IF(IFERROR(INDEX($E$29:$E$33,MATCH(Parameters!$C$310,$A$29:$A$33,0)),"")="maintenance",1,0))),IF(IFERROR(INDEX($E$48:$E$67,MATCH(Parameters!$D$310,$A$48:$A$67,0)),"")="hard",3,IF(IFERROR(INDEX($E$48:$E$67,MATCH(Parameters!$D$310,$A$48:$A$67,0)),"")="medium",2,IF(IFERROR(INDEX($E$48:$E$67,MATCH(Parameters!$D$310,$A$48:$A$67,0)),"")="maintenance",1,0)))),MAX(1,IF(IFERROR(INDEX($E$48:$E$67,MATCH(Parameters!$D$310,$A$48:$A$67,0)),"")="hard",3,IF(IFERROR(INDEX($E$48:$E$67,MATCH(Parameters!$D$310,$A$48:$A$67,0)),"")="medium",2,IF(IFERROR(INDEX($E$48:$E$67,MATCH(Parameters!$D$310,$A$48:$A$67,0)),"")="maintenance",1,0)))))</f>
        <v>1</v>
      </c>
      <c r="M107" s="6" t="n">
        <f aca="false">L107*10+IF(LEFT(Parameters!$B$310,8)="compound",1,0)-ROW()/1000000</f>
        <v>9.999893</v>
      </c>
      <c r="N107" s="0" t="str">
        <f aca="false" t="array" ref="N107:N107">_xlfn.TEXTJOIN(", ",TRUE(),IF(Parameters!$F$310:$Y$310=1,Parameters!$F$275:$Y$275,""))</f>
        <v>Triceps</v>
      </c>
      <c r="O107" s="6" t="str">
        <f aca="false">Parameters!$B$310</f>
        <v>isolation (minor)</v>
      </c>
      <c r="P107" s="6" t="str">
        <f aca="false">IF(Parameters!$E$310="","",Parameters!$E$310)</f>
        <v/>
      </c>
    </row>
    <row r="108" customFormat="false" ht="15" hidden="false" customHeight="false" outlineLevel="0" collapsed="false">
      <c r="A108" s="6" t="str">
        <f aca="false">INDEX($K$73:$K$111,MATCH(LARGE($M$73:$M$111,36),$M$73:$M$111,0))</f>
        <v>Overhead triceps extension</v>
      </c>
      <c r="B108" s="6" t="str">
        <f aca="false">INDEX($O$73:$O$111,MATCH(LARGE($M$73:$M$111,36),$M$73:$M$111,0))</f>
        <v>isolation (minor)</v>
      </c>
      <c r="C108" s="6" t="str">
        <f aca="false">CHOOSE(INDEX($L$73:$L$111,MATCH(LARGE($M$73:$M$111,36),$M$73:$M$111,0))+1,"none","maintenance","medium","hard")</f>
        <v>maintenance</v>
      </c>
      <c r="D108" s="6" t="str">
        <f aca="false">INDEX($P$73:$P$111,MATCH(LARGE($M$73:$M$111,36),$M$73:$M$111,0))</f>
        <v/>
      </c>
      <c r="E108" s="6" t="str">
        <f aca="false">INDEX($N$73:$N$111,MATCH(LARGE($M$73:$M$111,36),$M$73:$M$111,0))</f>
        <v>Triceps</v>
      </c>
      <c r="K108" s="6" t="str">
        <f aca="false">Parameters!$A$311</f>
        <v>Overhead triceps extension</v>
      </c>
      <c r="L108" s="6" t="n">
        <f aca="false">IF(LEFT(Parameters!$B$311,8)="compound",MAX(IF(IFERROR(INDEX($E$29:$E$33,MATCH(Parameters!$C$311,$A$29:$A$33,0)),"")="hard",3,IF(IFERROR(INDEX($E$29:$E$33,MATCH(Parameters!$C$311,$A$29:$A$33,0)),"")="medium",2,IF(IFERROR(INDEX($E$29:$E$33,MATCH(Parameters!$C$311,$A$29:$A$33,0)),"")="maintenance",1,0))),IF(IFERROR(INDEX($E$48:$E$67,MATCH(Parameters!$D$311,$A$48:$A$67,0)),"")="hard",3,IF(IFERROR(INDEX($E$48:$E$67,MATCH(Parameters!$D$311,$A$48:$A$67,0)),"")="medium",2,IF(IFERROR(INDEX($E$48:$E$67,MATCH(Parameters!$D$311,$A$48:$A$67,0)),"")="maintenance",1,0)))),MAX(1,IF(IFERROR(INDEX($E$48:$E$67,MATCH(Parameters!$D$311,$A$48:$A$67,0)),"")="hard",3,IF(IFERROR(INDEX($E$48:$E$67,MATCH(Parameters!$D$311,$A$48:$A$67,0)),"")="medium",2,IF(IFERROR(INDEX($E$48:$E$67,MATCH(Parameters!$D$311,$A$48:$A$67,0)),"")="maintenance",1,0)))))</f>
        <v>1</v>
      </c>
      <c r="M108" s="6" t="n">
        <f aca="false">L108*10+IF(LEFT(Parameters!$B$311,8)="compound",1,0)-ROW()/1000000</f>
        <v>9.999892</v>
      </c>
      <c r="N108" s="0" t="str">
        <f aca="false" t="array" ref="N108:N108">_xlfn.TEXTJOIN(", ",TRUE(),IF(Parameters!$F$311:$Y$311=1,Parameters!$F$275:$Y$275,""))</f>
        <v>Triceps</v>
      </c>
      <c r="O108" s="6" t="str">
        <f aca="false">Parameters!$B$311</f>
        <v>isolation (minor)</v>
      </c>
      <c r="P108" s="6" t="str">
        <f aca="false">IF(Parameters!$E$311="","",Parameters!$E$311)</f>
        <v/>
      </c>
    </row>
    <row r="109" customFormat="false" ht="15" hidden="false" customHeight="false" outlineLevel="0" collapsed="false">
      <c r="A109" s="6" t="str">
        <f aca="false">INDEX($K$73:$K$111,MATCH(LARGE($M$73:$M$111,37),$M$73:$M$111,0))</f>
        <v>Skull crusher</v>
      </c>
      <c r="B109" s="6" t="str">
        <f aca="false">INDEX($O$73:$O$111,MATCH(LARGE($M$73:$M$111,37),$M$73:$M$111,0))</f>
        <v>isolation (minor)</v>
      </c>
      <c r="C109" s="6" t="str">
        <f aca="false">CHOOSE(INDEX($L$73:$L$111,MATCH(LARGE($M$73:$M$111,37),$M$73:$M$111,0))+1,"none","maintenance","medium","hard")</f>
        <v>maintenance</v>
      </c>
      <c r="D109" s="6" t="str">
        <f aca="false">INDEX($P$73:$P$111,MATCH(LARGE($M$73:$M$111,37),$M$73:$M$111,0))</f>
        <v/>
      </c>
      <c r="E109" s="6" t="str">
        <f aca="false">INDEX($N$73:$N$111,MATCH(LARGE($M$73:$M$111,37),$M$73:$M$111,0))</f>
        <v>Triceps</v>
      </c>
      <c r="K109" s="6" t="str">
        <f aca="false">Parameters!$A$312</f>
        <v>Skull crusher</v>
      </c>
      <c r="L109" s="6" t="n">
        <f aca="false">IF(LEFT(Parameters!$B$312,8)="compound",MAX(IF(IFERROR(INDEX($E$29:$E$33,MATCH(Parameters!$C$312,$A$29:$A$33,0)),"")="hard",3,IF(IFERROR(INDEX($E$29:$E$33,MATCH(Parameters!$C$312,$A$29:$A$33,0)),"")="medium",2,IF(IFERROR(INDEX($E$29:$E$33,MATCH(Parameters!$C$312,$A$29:$A$33,0)),"")="maintenance",1,0))),IF(IFERROR(INDEX($E$48:$E$67,MATCH(Parameters!$D$312,$A$48:$A$67,0)),"")="hard",3,IF(IFERROR(INDEX($E$48:$E$67,MATCH(Parameters!$D$312,$A$48:$A$67,0)),"")="medium",2,IF(IFERROR(INDEX($E$48:$E$67,MATCH(Parameters!$D$312,$A$48:$A$67,0)),"")="maintenance",1,0)))),MAX(1,IF(IFERROR(INDEX($E$48:$E$67,MATCH(Parameters!$D$312,$A$48:$A$67,0)),"")="hard",3,IF(IFERROR(INDEX($E$48:$E$67,MATCH(Parameters!$D$312,$A$48:$A$67,0)),"")="medium",2,IF(IFERROR(INDEX($E$48:$E$67,MATCH(Parameters!$D$312,$A$48:$A$67,0)),"")="maintenance",1,0)))))</f>
        <v>1</v>
      </c>
      <c r="M109" s="6" t="n">
        <f aca="false">L109*10+IF(LEFT(Parameters!$B$312,8)="compound",1,0)-ROW()/1000000</f>
        <v>9.999891</v>
      </c>
      <c r="N109" s="0" t="str">
        <f aca="false" t="array" ref="N109:N109">_xlfn.TEXTJOIN(", ",TRUE(),IF(Parameters!$F$312:$Y$312=1,Parameters!$F$275:$Y$275,""))</f>
        <v>Triceps</v>
      </c>
      <c r="O109" s="6" t="str">
        <f aca="false">Parameters!$B$312</f>
        <v>isolation (minor)</v>
      </c>
      <c r="P109" s="6" t="str">
        <f aca="false">IF(Parameters!$E$312="","",Parameters!$E$312)</f>
        <v/>
      </c>
    </row>
    <row r="110" customFormat="false" ht="15" hidden="false" customHeight="false" outlineLevel="0" collapsed="false">
      <c r="A110" s="6" t="str">
        <f aca="false">INDEX($K$73:$K$111,MATCH(LARGE($M$73:$M$111,38),$M$73:$M$111,0))</f>
        <v>Wrist curl / reverse curl</v>
      </c>
      <c r="B110" s="6" t="str">
        <f aca="false">INDEX($O$73:$O$111,MATCH(LARGE($M$73:$M$111,38),$M$73:$M$111,0))</f>
        <v>isolation (minor)</v>
      </c>
      <c r="C110" s="6" t="str">
        <f aca="false">CHOOSE(INDEX($L$73:$L$111,MATCH(LARGE($M$73:$M$111,38),$M$73:$M$111,0))+1,"none","maintenance","medium","hard")</f>
        <v>maintenance</v>
      </c>
      <c r="D110" s="6" t="str">
        <f aca="false">INDEX($P$73:$P$111,MATCH(LARGE($M$73:$M$111,38),$M$73:$M$111,0))</f>
        <v/>
      </c>
      <c r="E110" s="6" t="str">
        <f aca="false">INDEX($N$73:$N$111,MATCH(LARGE($M$73:$M$111,38),$M$73:$M$111,0))</f>
        <v>Forearms</v>
      </c>
      <c r="K110" s="6" t="str">
        <f aca="false">Parameters!$A$313</f>
        <v>Wrist curl / reverse curl</v>
      </c>
      <c r="L110" s="6" t="n">
        <f aca="false">IF(LEFT(Parameters!$B$313,8)="compound",MAX(IF(IFERROR(INDEX($E$29:$E$33,MATCH(Parameters!$C$313,$A$29:$A$33,0)),"")="hard",3,IF(IFERROR(INDEX($E$29:$E$33,MATCH(Parameters!$C$313,$A$29:$A$33,0)),"")="medium",2,IF(IFERROR(INDEX($E$29:$E$33,MATCH(Parameters!$C$313,$A$29:$A$33,0)),"")="maintenance",1,0))),IF(IFERROR(INDEX($E$48:$E$67,MATCH(Parameters!$D$313,$A$48:$A$67,0)),"")="hard",3,IF(IFERROR(INDEX($E$48:$E$67,MATCH(Parameters!$D$313,$A$48:$A$67,0)),"")="medium",2,IF(IFERROR(INDEX($E$48:$E$67,MATCH(Parameters!$D$313,$A$48:$A$67,0)),"")="maintenance",1,0)))),MAX(1,IF(IFERROR(INDEX($E$48:$E$67,MATCH(Parameters!$D$313,$A$48:$A$67,0)),"")="hard",3,IF(IFERROR(INDEX($E$48:$E$67,MATCH(Parameters!$D$313,$A$48:$A$67,0)),"")="medium",2,IF(IFERROR(INDEX($E$48:$E$67,MATCH(Parameters!$D$313,$A$48:$A$67,0)),"")="maintenance",1,0)))))</f>
        <v>1</v>
      </c>
      <c r="M110" s="6" t="n">
        <f aca="false">L110*10+IF(LEFT(Parameters!$B$313,8)="compound",1,0)-ROW()/1000000</f>
        <v>9.99989</v>
      </c>
      <c r="N110" s="0" t="str">
        <f aca="false" t="array" ref="N110:N110">_xlfn.TEXTJOIN(", ",TRUE(),IF(Parameters!$F$313:$Y$313=1,Parameters!$F$275:$Y$275,""))</f>
        <v>Forearms</v>
      </c>
      <c r="O110" s="6" t="str">
        <f aca="false">Parameters!$B$313</f>
        <v>isolation (minor)</v>
      </c>
      <c r="P110" s="6" t="str">
        <f aca="false">IF(Parameters!$E$313="","",Parameters!$E$313)</f>
        <v/>
      </c>
    </row>
    <row r="111" customFormat="false" ht="15" hidden="false" customHeight="false" outlineLevel="0" collapsed="false">
      <c r="A111" s="6" t="str">
        <f aca="false">INDEX($K$73:$K$111,MATCH(LARGE($M$73:$M$111,39),$M$73:$M$111,0))</f>
        <v>Shrug</v>
      </c>
      <c r="B111" s="6" t="str">
        <f aca="false">INDEX($O$73:$O$111,MATCH(LARGE($M$73:$M$111,39),$M$73:$M$111,0))</f>
        <v>isolation (minor)</v>
      </c>
      <c r="C111" s="6" t="str">
        <f aca="false">CHOOSE(INDEX($L$73:$L$111,MATCH(LARGE($M$73:$M$111,39),$M$73:$M$111,0))+1,"none","maintenance","medium","hard")</f>
        <v>maintenance</v>
      </c>
      <c r="D111" s="6" t="str">
        <f aca="false">INDEX($P$73:$P$111,MATCH(LARGE($M$73:$M$111,39),$M$73:$M$111,0))</f>
        <v/>
      </c>
      <c r="E111" s="6" t="str">
        <f aca="false">INDEX($N$73:$N$111,MATCH(LARGE($M$73:$M$111,39),$M$73:$M$111,0))</f>
        <v>Upper traps</v>
      </c>
      <c r="K111" s="6" t="str">
        <f aca="false">Parameters!$A$314</f>
        <v>Shrug</v>
      </c>
      <c r="L111" s="6" t="n">
        <f aca="false">IF(LEFT(Parameters!$B$314,8)="compound",MAX(IF(IFERROR(INDEX($E$29:$E$33,MATCH(Parameters!$C$314,$A$29:$A$33,0)),"")="hard",3,IF(IFERROR(INDEX($E$29:$E$33,MATCH(Parameters!$C$314,$A$29:$A$33,0)),"")="medium",2,IF(IFERROR(INDEX($E$29:$E$33,MATCH(Parameters!$C$314,$A$29:$A$33,0)),"")="maintenance",1,0))),IF(IFERROR(INDEX($E$48:$E$67,MATCH(Parameters!$D$314,$A$48:$A$67,0)),"")="hard",3,IF(IFERROR(INDEX($E$48:$E$67,MATCH(Parameters!$D$314,$A$48:$A$67,0)),"")="medium",2,IF(IFERROR(INDEX($E$48:$E$67,MATCH(Parameters!$D$314,$A$48:$A$67,0)),"")="maintenance",1,0)))),MAX(1,IF(IFERROR(INDEX($E$48:$E$67,MATCH(Parameters!$D$314,$A$48:$A$67,0)),"")="hard",3,IF(IFERROR(INDEX($E$48:$E$67,MATCH(Parameters!$D$314,$A$48:$A$67,0)),"")="medium",2,IF(IFERROR(INDEX($E$48:$E$67,MATCH(Parameters!$D$314,$A$48:$A$67,0)),"")="maintenance",1,0)))))</f>
        <v>1</v>
      </c>
      <c r="M111" s="6" t="n">
        <f aca="false">L111*10+IF(LEFT(Parameters!$B$314,8)="compound",1,0)-ROW()/1000000</f>
        <v>9.999889</v>
      </c>
      <c r="N111" s="0" t="str">
        <f aca="false" t="array" ref="N111:N111">_xlfn.TEXTJOIN(", ",TRUE(),IF(Parameters!$F$314:$Y$314=1,Parameters!$F$275:$Y$275,""))</f>
        <v>Upper traps</v>
      </c>
      <c r="O111" s="6" t="str">
        <f aca="false">Parameters!$B$314</f>
        <v>isolation (minor)</v>
      </c>
      <c r="P111" s="6" t="str">
        <f aca="false">IF(Parameters!$E$314="","",Parameters!$E$314)</f>
        <v/>
      </c>
    </row>
    <row r="112" customFormat="false" ht="15" hidden="false" customHeight="false" outlineLevel="0" collapsed="false">
      <c r="A112" s="7" t="s">
        <v>369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2"/>
    <col collapsed="false" customWidth="true" hidden="false" outlineLevel="0" max="4" min="4" style="0" width="70"/>
    <col collapsed="false" customWidth="true" hidden="false" outlineLevel="0" max="5" min="5" style="0" width="12"/>
    <col collapsed="false" customWidth="true" hidden="false" outlineLevel="0" max="6" min="6" style="0" width="70"/>
    <col collapsed="false" customWidth="true" hidden="false" outlineLevel="0" max="28" min="9" style="0" width="10"/>
  </cols>
  <sheetData>
    <row r="1" customFormat="false" ht="16.15" hidden="false" customHeight="false" outlineLevel="0" collapsed="false">
      <c r="A1" s="11" t="s">
        <v>370</v>
      </c>
    </row>
    <row r="2" customFormat="false" ht="15" hidden="false" customHeight="false" outlineLevel="0" collapsed="false">
      <c r="A2" s="4" t="s">
        <v>28</v>
      </c>
      <c r="B2" s="4" t="s">
        <v>371</v>
      </c>
      <c r="C2" s="4" t="s">
        <v>372</v>
      </c>
      <c r="D2" s="4" t="s">
        <v>373</v>
      </c>
    </row>
    <row r="3" customFormat="false" ht="15" hidden="false" customHeight="false" outlineLevel="0" collapsed="false">
      <c r="A3" s="6" t="s">
        <v>374</v>
      </c>
      <c r="B3" s="10" t="n">
        <v>1</v>
      </c>
      <c r="C3" s="6" t="s">
        <v>34</v>
      </c>
      <c r="D3" s="7" t="s">
        <v>375</v>
      </c>
    </row>
    <row r="4" customFormat="false" ht="15" hidden="false" customHeight="false" outlineLevel="0" collapsed="false">
      <c r="A4" s="6" t="s">
        <v>376</v>
      </c>
      <c r="B4" s="10" t="n">
        <v>0.5</v>
      </c>
      <c r="C4" s="6" t="s">
        <v>377</v>
      </c>
      <c r="D4" s="7" t="s">
        <v>378</v>
      </c>
    </row>
    <row r="5" customFormat="false" ht="15" hidden="false" customHeight="false" outlineLevel="0" collapsed="false">
      <c r="A5" s="6" t="s">
        <v>379</v>
      </c>
      <c r="B5" s="10" t="n">
        <v>22.667</v>
      </c>
      <c r="C5" s="6"/>
      <c r="D5" s="7" t="s">
        <v>380</v>
      </c>
    </row>
    <row r="6" customFormat="false" ht="15" hidden="false" customHeight="false" outlineLevel="0" collapsed="false">
      <c r="A6" s="6" t="s">
        <v>381</v>
      </c>
      <c r="B6" s="10" t="n">
        <v>17.0104</v>
      </c>
      <c r="C6" s="6"/>
      <c r="D6" s="7" t="s">
        <v>382</v>
      </c>
    </row>
    <row r="7" customFormat="false" ht="15" hidden="false" customHeight="false" outlineLevel="0" collapsed="false">
      <c r="A7" s="6" t="s">
        <v>383</v>
      </c>
      <c r="B7" s="10" t="n">
        <v>224</v>
      </c>
      <c r="C7" s="6"/>
      <c r="D7" s="7" t="s">
        <v>384</v>
      </c>
    </row>
    <row r="8" customFormat="false" ht="15" hidden="false" customHeight="false" outlineLevel="0" collapsed="false">
      <c r="A8" s="6" t="s">
        <v>385</v>
      </c>
      <c r="B8" s="10" t="n">
        <v>100</v>
      </c>
      <c r="C8" s="6" t="s">
        <v>386</v>
      </c>
      <c r="D8" s="7" t="s">
        <v>387</v>
      </c>
    </row>
    <row r="9" customFormat="false" ht="15" hidden="false" customHeight="false" outlineLevel="0" collapsed="false">
      <c r="A9" s="6" t="s">
        <v>388</v>
      </c>
      <c r="B9" s="21" t="n">
        <v>0.05</v>
      </c>
      <c r="C9" s="6" t="s">
        <v>389</v>
      </c>
      <c r="D9" s="7" t="s">
        <v>390</v>
      </c>
    </row>
    <row r="10" customFormat="false" ht="15" hidden="false" customHeight="false" outlineLevel="0" collapsed="false">
      <c r="A10" s="6" t="s">
        <v>391</v>
      </c>
      <c r="B10" s="10" t="n">
        <v>6.1</v>
      </c>
      <c r="C10" s="6" t="s">
        <v>392</v>
      </c>
      <c r="D10" s="7" t="s">
        <v>393</v>
      </c>
    </row>
    <row r="11" customFormat="false" ht="15" hidden="false" customHeight="false" outlineLevel="0" collapsed="false">
      <c r="A11" s="6" t="s">
        <v>394</v>
      </c>
      <c r="B11" s="10" t="n">
        <v>1.8</v>
      </c>
      <c r="C11" s="6" t="s">
        <v>208</v>
      </c>
      <c r="D11" s="7" t="s">
        <v>395</v>
      </c>
    </row>
    <row r="12" customFormat="false" ht="15" hidden="false" customHeight="false" outlineLevel="0" collapsed="false">
      <c r="A12" s="6" t="s">
        <v>396</v>
      </c>
      <c r="B12" s="10" t="n">
        <v>2.54</v>
      </c>
      <c r="C12" s="6"/>
      <c r="D12" s="7" t="s">
        <v>397</v>
      </c>
    </row>
    <row r="13" customFormat="false" ht="15" hidden="false" customHeight="false" outlineLevel="0" collapsed="false">
      <c r="A13" s="6" t="s">
        <v>398</v>
      </c>
      <c r="B13" s="10" t="n">
        <v>0.45359237</v>
      </c>
      <c r="C13" s="6"/>
      <c r="D13" s="7" t="s">
        <v>397</v>
      </c>
    </row>
    <row r="14" customFormat="false" ht="15" hidden="false" customHeight="false" outlineLevel="0" collapsed="false">
      <c r="A14" s="6" t="s">
        <v>399</v>
      </c>
      <c r="B14" s="10" t="n">
        <v>48.8</v>
      </c>
      <c r="C14" s="6"/>
      <c r="D14" s="7" t="s">
        <v>400</v>
      </c>
    </row>
    <row r="15" customFormat="false" ht="15" hidden="false" customHeight="false" outlineLevel="0" collapsed="false">
      <c r="A15" s="6" t="s">
        <v>401</v>
      </c>
      <c r="B15" s="10" t="n">
        <v>53.8</v>
      </c>
      <c r="C15" s="6"/>
      <c r="D15" s="7" t="s">
        <v>402</v>
      </c>
    </row>
    <row r="16" customFormat="false" ht="15" hidden="false" customHeight="false" outlineLevel="0" collapsed="false">
      <c r="A16" s="6" t="s">
        <v>403</v>
      </c>
      <c r="B16" s="10" t="n">
        <v>0.075</v>
      </c>
      <c r="C16" s="6"/>
      <c r="D16" s="7" t="s">
        <v>404</v>
      </c>
    </row>
    <row r="17" customFormat="false" ht="15" hidden="false" customHeight="false" outlineLevel="0" collapsed="false">
      <c r="A17" s="6" t="s">
        <v>405</v>
      </c>
      <c r="B17" s="10" t="n">
        <v>0.1</v>
      </c>
      <c r="C17" s="6" t="s">
        <v>389</v>
      </c>
      <c r="D17" s="7" t="s">
        <v>406</v>
      </c>
    </row>
    <row r="18" customFormat="false" ht="15" hidden="false" customHeight="false" outlineLevel="0" collapsed="false">
      <c r="A18" s="6" t="s">
        <v>407</v>
      </c>
      <c r="B18" s="10" t="n">
        <v>132.853</v>
      </c>
      <c r="C18" s="6"/>
      <c r="D18" s="7" t="s">
        <v>408</v>
      </c>
    </row>
    <row r="19" customFormat="false" ht="15" hidden="false" customHeight="false" outlineLevel="0" collapsed="false">
      <c r="A19" s="6" t="s">
        <v>409</v>
      </c>
      <c r="B19" s="10" t="n">
        <v>0.0769</v>
      </c>
      <c r="C19" s="6"/>
      <c r="D19" s="7" t="s">
        <v>410</v>
      </c>
    </row>
    <row r="20" customFormat="false" ht="15" hidden="false" customHeight="false" outlineLevel="0" collapsed="false">
      <c r="A20" s="6" t="s">
        <v>411</v>
      </c>
      <c r="B20" s="10" t="n">
        <v>0.3877</v>
      </c>
      <c r="C20" s="6"/>
      <c r="D20" s="7" t="s">
        <v>412</v>
      </c>
    </row>
    <row r="21" customFormat="false" ht="15" hidden="false" customHeight="false" outlineLevel="0" collapsed="false">
      <c r="A21" s="6" t="s">
        <v>413</v>
      </c>
      <c r="B21" s="10" t="n">
        <v>3.2649</v>
      </c>
      <c r="C21" s="6"/>
      <c r="D21" s="7" t="s">
        <v>414</v>
      </c>
    </row>
    <row r="22" customFormat="false" ht="15" hidden="false" customHeight="false" outlineLevel="0" collapsed="false">
      <c r="A22" s="6" t="s">
        <v>415</v>
      </c>
      <c r="B22" s="10" t="n">
        <v>0.1565</v>
      </c>
      <c r="C22" s="6"/>
      <c r="D22" s="7" t="s">
        <v>416</v>
      </c>
    </row>
    <row r="23" customFormat="false" ht="15" hidden="false" customHeight="false" outlineLevel="0" collapsed="false">
      <c r="A23" s="6" t="s">
        <v>417</v>
      </c>
      <c r="B23" s="10" t="n">
        <v>504.9</v>
      </c>
      <c r="C23" s="6" t="s">
        <v>208</v>
      </c>
      <c r="D23" s="7" t="s">
        <v>418</v>
      </c>
    </row>
    <row r="24" customFormat="false" ht="15" hidden="false" customHeight="false" outlineLevel="0" collapsed="false">
      <c r="A24" s="6" t="s">
        <v>419</v>
      </c>
      <c r="B24" s="10" t="n">
        <v>44.73</v>
      </c>
      <c r="C24" s="6"/>
      <c r="D24" s="7" t="s">
        <v>420</v>
      </c>
    </row>
    <row r="25" customFormat="false" ht="15" hidden="false" customHeight="false" outlineLevel="0" collapsed="false">
      <c r="A25" s="6" t="s">
        <v>421</v>
      </c>
      <c r="B25" s="10" t="n">
        <v>-4.6</v>
      </c>
      <c r="C25" s="6"/>
      <c r="D25" s="7" t="s">
        <v>422</v>
      </c>
    </row>
    <row r="26" customFormat="false" ht="15" hidden="false" customHeight="false" outlineLevel="0" collapsed="false">
      <c r="A26" s="6" t="s">
        <v>423</v>
      </c>
      <c r="B26" s="10" t="n">
        <v>0.182258</v>
      </c>
      <c r="C26" s="6"/>
      <c r="D26" s="7" t="s">
        <v>424</v>
      </c>
    </row>
    <row r="27" customFormat="false" ht="15" hidden="false" customHeight="false" outlineLevel="0" collapsed="false">
      <c r="A27" s="6" t="s">
        <v>425</v>
      </c>
      <c r="B27" s="10" t="n">
        <v>0.000104</v>
      </c>
      <c r="C27" s="6"/>
      <c r="D27" s="7" t="s">
        <v>424</v>
      </c>
    </row>
    <row r="28" customFormat="false" ht="15" hidden="false" customHeight="false" outlineLevel="0" collapsed="false">
      <c r="A28" s="6" t="s">
        <v>426</v>
      </c>
      <c r="B28" s="10" t="n">
        <v>0.8</v>
      </c>
      <c r="C28" s="6"/>
      <c r="D28" s="7" t="s">
        <v>424</v>
      </c>
    </row>
    <row r="29" customFormat="false" ht="15" hidden="false" customHeight="false" outlineLevel="0" collapsed="false">
      <c r="A29" s="6" t="s">
        <v>427</v>
      </c>
      <c r="B29" s="10" t="n">
        <v>0.1894393</v>
      </c>
      <c r="C29" s="6"/>
      <c r="D29" s="7" t="s">
        <v>424</v>
      </c>
    </row>
    <row r="30" customFormat="false" ht="15" hidden="false" customHeight="false" outlineLevel="0" collapsed="false">
      <c r="A30" s="6" t="s">
        <v>428</v>
      </c>
      <c r="B30" s="10" t="n">
        <v>0.012778</v>
      </c>
      <c r="C30" s="6"/>
      <c r="D30" s="7" t="s">
        <v>424</v>
      </c>
    </row>
    <row r="31" customFormat="false" ht="15" hidden="false" customHeight="false" outlineLevel="0" collapsed="false">
      <c r="A31" s="6" t="s">
        <v>429</v>
      </c>
      <c r="B31" s="10" t="n">
        <v>0.2989558</v>
      </c>
      <c r="C31" s="6"/>
      <c r="D31" s="7" t="s">
        <v>424</v>
      </c>
    </row>
    <row r="32" customFormat="false" ht="15" hidden="false" customHeight="false" outlineLevel="0" collapsed="false">
      <c r="A32" s="6" t="s">
        <v>430</v>
      </c>
      <c r="B32" s="10" t="n">
        <v>0.1932605</v>
      </c>
      <c r="C32" s="6"/>
      <c r="D32" s="7" t="s">
        <v>424</v>
      </c>
    </row>
    <row r="33" customFormat="false" ht="15" hidden="false" customHeight="false" outlineLevel="0" collapsed="false">
      <c r="A33" s="6" t="s">
        <v>431</v>
      </c>
      <c r="B33" s="10" t="n">
        <v>10.8</v>
      </c>
      <c r="C33" s="6"/>
      <c r="D33" s="7" t="s">
        <v>432</v>
      </c>
    </row>
    <row r="34" customFormat="false" ht="15" hidden="false" customHeight="false" outlineLevel="0" collapsed="false">
      <c r="A34" s="6" t="s">
        <v>433</v>
      </c>
      <c r="B34" s="10" t="n">
        <v>7</v>
      </c>
      <c r="C34" s="6"/>
      <c r="D34" s="7" t="s">
        <v>434</v>
      </c>
    </row>
    <row r="35" customFormat="false" ht="15" hidden="false" customHeight="false" outlineLevel="0" collapsed="false">
      <c r="A35" s="6" t="s">
        <v>435</v>
      </c>
      <c r="B35" s="10" t="n">
        <v>100</v>
      </c>
      <c r="C35" s="6" t="s">
        <v>256</v>
      </c>
      <c r="D35" s="7" t="s">
        <v>436</v>
      </c>
    </row>
    <row r="36" customFormat="false" ht="15" hidden="false" customHeight="false" outlineLevel="0" collapsed="false">
      <c r="A36" s="6" t="s">
        <v>437</v>
      </c>
      <c r="B36" s="10" t="n">
        <v>0.6</v>
      </c>
      <c r="C36" s="6" t="s">
        <v>377</v>
      </c>
      <c r="D36" s="7" t="s">
        <v>438</v>
      </c>
    </row>
    <row r="37" customFormat="false" ht="15" hidden="false" customHeight="false" outlineLevel="0" collapsed="false">
      <c r="A37" s="6" t="s">
        <v>439</v>
      </c>
      <c r="B37" s="10" t="n">
        <v>0.7</v>
      </c>
      <c r="C37" s="6" t="s">
        <v>377</v>
      </c>
      <c r="D37" s="7" t="s">
        <v>440</v>
      </c>
    </row>
    <row r="38" customFormat="false" ht="15" hidden="false" customHeight="false" outlineLevel="0" collapsed="false">
      <c r="A38" s="6" t="s">
        <v>441</v>
      </c>
      <c r="B38" s="10" t="n">
        <v>19.2</v>
      </c>
      <c r="C38" s="6" t="s">
        <v>442</v>
      </c>
      <c r="D38" s="7" t="s">
        <v>443</v>
      </c>
    </row>
    <row r="39" customFormat="false" ht="15" hidden="false" customHeight="false" outlineLevel="0" collapsed="false">
      <c r="A39" s="6" t="s">
        <v>444</v>
      </c>
      <c r="B39" s="10" t="n">
        <v>0.45</v>
      </c>
      <c r="C39" s="6" t="s">
        <v>377</v>
      </c>
      <c r="D39" s="7" t="s">
        <v>445</v>
      </c>
    </row>
    <row r="40" customFormat="false" ht="15" hidden="false" customHeight="false" outlineLevel="0" collapsed="false">
      <c r="A40" s="6" t="s">
        <v>446</v>
      </c>
      <c r="B40" s="10" t="n">
        <v>-0.15</v>
      </c>
      <c r="C40" s="6" t="s">
        <v>389</v>
      </c>
      <c r="D40" s="7" t="s">
        <v>447</v>
      </c>
    </row>
    <row r="41" customFormat="false" ht="15" hidden="false" customHeight="false" outlineLevel="0" collapsed="false">
      <c r="A41" s="6" t="s">
        <v>448</v>
      </c>
      <c r="B41" s="10" t="n">
        <v>0.85</v>
      </c>
      <c r="C41" s="6" t="s">
        <v>389</v>
      </c>
      <c r="D41" s="7" t="s">
        <v>449</v>
      </c>
    </row>
    <row r="42" customFormat="false" ht="15" hidden="false" customHeight="false" outlineLevel="0" collapsed="false">
      <c r="A42" s="6" t="s">
        <v>450</v>
      </c>
      <c r="B42" s="10" t="n">
        <v>-0.05</v>
      </c>
      <c r="C42" s="6" t="s">
        <v>389</v>
      </c>
      <c r="D42" s="7" t="s">
        <v>451</v>
      </c>
    </row>
    <row r="43" customFormat="false" ht="15" hidden="false" customHeight="false" outlineLevel="0" collapsed="false">
      <c r="A43" s="6" t="s">
        <v>452</v>
      </c>
      <c r="B43" s="10" t="n">
        <v>0.95</v>
      </c>
      <c r="C43" s="6" t="s">
        <v>389</v>
      </c>
      <c r="D43" s="7" t="s">
        <v>453</v>
      </c>
    </row>
    <row r="44" customFormat="false" ht="15" hidden="false" customHeight="false" outlineLevel="0" collapsed="false">
      <c r="A44" s="6" t="s">
        <v>454</v>
      </c>
      <c r="B44" s="10" t="n">
        <v>12</v>
      </c>
      <c r="C44" s="6" t="s">
        <v>455</v>
      </c>
      <c r="D44" s="7" t="s">
        <v>456</v>
      </c>
    </row>
    <row r="45" customFormat="false" ht="15" hidden="false" customHeight="false" outlineLevel="0" collapsed="false">
      <c r="A45" s="6" t="s">
        <v>457</v>
      </c>
      <c r="B45" s="10" t="n">
        <v>20</v>
      </c>
      <c r="C45" s="6" t="s">
        <v>455</v>
      </c>
      <c r="D45" s="7" t="s">
        <v>458</v>
      </c>
    </row>
    <row r="46" customFormat="false" ht="15" hidden="false" customHeight="false" outlineLevel="0" collapsed="false">
      <c r="A46" s="6" t="s">
        <v>459</v>
      </c>
      <c r="B46" s="10" t="n">
        <v>6</v>
      </c>
      <c r="C46" s="6" t="s">
        <v>455</v>
      </c>
      <c r="D46" s="7" t="s">
        <v>460</v>
      </c>
    </row>
    <row r="47" customFormat="false" ht="15" hidden="false" customHeight="false" outlineLevel="0" collapsed="false">
      <c r="A47" s="6" t="s">
        <v>461</v>
      </c>
      <c r="B47" s="10" t="n">
        <v>10</v>
      </c>
      <c r="C47" s="6" t="s">
        <v>455</v>
      </c>
      <c r="D47" s="7" t="s">
        <v>462</v>
      </c>
    </row>
    <row r="48" customFormat="false" ht="15" hidden="false" customHeight="false" outlineLevel="0" collapsed="false">
      <c r="A48" s="6" t="s">
        <v>463</v>
      </c>
      <c r="B48" s="10" t="n">
        <v>3</v>
      </c>
      <c r="C48" s="6" t="s">
        <v>455</v>
      </c>
      <c r="D48" s="7" t="s">
        <v>464</v>
      </c>
    </row>
    <row r="49" customFormat="false" ht="15" hidden="false" customHeight="false" outlineLevel="0" collapsed="false">
      <c r="A49" s="6" t="s">
        <v>465</v>
      </c>
      <c r="B49" s="10" t="n">
        <v>5</v>
      </c>
      <c r="C49" s="6" t="s">
        <v>455</v>
      </c>
      <c r="D49" s="7" t="s">
        <v>466</v>
      </c>
    </row>
    <row r="50" customFormat="false" ht="15" hidden="false" customHeight="false" outlineLevel="0" collapsed="false">
      <c r="A50" s="6" t="s">
        <v>467</v>
      </c>
      <c r="B50" s="10" t="n">
        <v>0.005</v>
      </c>
      <c r="C50" s="6" t="s">
        <v>468</v>
      </c>
      <c r="D50" s="7" t="s">
        <v>469</v>
      </c>
    </row>
    <row r="51" customFormat="false" ht="15" hidden="false" customHeight="false" outlineLevel="0" collapsed="false">
      <c r="A51" s="6" t="s">
        <v>470</v>
      </c>
      <c r="B51" s="10" t="n">
        <v>0.01</v>
      </c>
      <c r="C51" s="6" t="s">
        <v>468</v>
      </c>
      <c r="D51" s="7" t="s">
        <v>471</v>
      </c>
    </row>
    <row r="52" customFormat="false" ht="15" hidden="false" customHeight="false" outlineLevel="0" collapsed="false">
      <c r="A52" s="6" t="s">
        <v>472</v>
      </c>
      <c r="B52" s="10" t="n">
        <v>1.6</v>
      </c>
      <c r="C52" s="6" t="s">
        <v>473</v>
      </c>
      <c r="D52" s="7" t="s">
        <v>474</v>
      </c>
    </row>
    <row r="53" customFormat="false" ht="15" hidden="false" customHeight="false" outlineLevel="0" collapsed="false">
      <c r="A53" s="6" t="s">
        <v>475</v>
      </c>
      <c r="B53" s="10" t="n">
        <v>2.2</v>
      </c>
      <c r="C53" s="6" t="s">
        <v>473</v>
      </c>
      <c r="D53" s="7" t="s">
        <v>476</v>
      </c>
    </row>
    <row r="55" customFormat="false" ht="16.15" hidden="false" customHeight="false" outlineLevel="0" collapsed="false">
      <c r="A55" s="11" t="s">
        <v>477</v>
      </c>
    </row>
    <row r="56" customFormat="false" ht="15" hidden="false" customHeight="false" outlineLevel="0" collapsed="false">
      <c r="A56" s="4" t="s">
        <v>28</v>
      </c>
      <c r="B56" s="4" t="s">
        <v>478</v>
      </c>
      <c r="C56" s="4" t="s">
        <v>48</v>
      </c>
      <c r="D56" s="4" t="s">
        <v>479</v>
      </c>
      <c r="E56" s="4" t="s">
        <v>480</v>
      </c>
    </row>
    <row r="57" customFormat="false" ht="15" hidden="false" customHeight="false" outlineLevel="0" collapsed="false">
      <c r="A57" s="6" t="s">
        <v>481</v>
      </c>
      <c r="B57" s="10" t="n">
        <v>495</v>
      </c>
      <c r="C57" s="10" t="n">
        <v>495</v>
      </c>
      <c r="D57" s="6" t="n">
        <f aca="false">IF(m_sex="female",C57,B57)</f>
        <v>495</v>
      </c>
      <c r="E57" s="7" t="s">
        <v>482</v>
      </c>
    </row>
    <row r="58" customFormat="false" ht="15" hidden="false" customHeight="false" outlineLevel="0" collapsed="false">
      <c r="A58" s="6" t="s">
        <v>483</v>
      </c>
      <c r="B58" s="10" t="n">
        <v>1.0324</v>
      </c>
      <c r="C58" s="10" t="n">
        <v>1.29579</v>
      </c>
      <c r="D58" s="6" t="n">
        <f aca="false">IF(m_sex="female",C58,B58)</f>
        <v>1.29579</v>
      </c>
      <c r="E58" s="7" t="s">
        <v>484</v>
      </c>
    </row>
    <row r="59" customFormat="false" ht="15" hidden="false" customHeight="false" outlineLevel="0" collapsed="false">
      <c r="A59" s="6" t="s">
        <v>485</v>
      </c>
      <c r="B59" s="10" t="n">
        <v>0.19077</v>
      </c>
      <c r="C59" s="10" t="n">
        <v>0.35004</v>
      </c>
      <c r="D59" s="6" t="n">
        <f aca="false">IF(m_sex="female",C59,B59)</f>
        <v>0.35004</v>
      </c>
      <c r="E59" s="7" t="s">
        <v>486</v>
      </c>
    </row>
    <row r="60" customFormat="false" ht="15" hidden="false" customHeight="false" outlineLevel="0" collapsed="false">
      <c r="A60" s="6" t="s">
        <v>487</v>
      </c>
      <c r="B60" s="10" t="n">
        <v>0.15456</v>
      </c>
      <c r="C60" s="10" t="n">
        <v>0.221</v>
      </c>
      <c r="D60" s="6" t="n">
        <f aca="false">IF(m_sex="female",C60,B60)</f>
        <v>0.221</v>
      </c>
      <c r="E60" s="7" t="s">
        <v>488</v>
      </c>
    </row>
    <row r="61" customFormat="false" ht="15" hidden="false" customHeight="false" outlineLevel="0" collapsed="false">
      <c r="A61" s="6" t="s">
        <v>489</v>
      </c>
      <c r="B61" s="10" t="n">
        <v>450</v>
      </c>
      <c r="C61" s="10" t="n">
        <v>450</v>
      </c>
      <c r="D61" s="6" t="n">
        <f aca="false">IF(m_sex="female",C61,B61)</f>
        <v>450</v>
      </c>
      <c r="E61" s="7" t="s">
        <v>490</v>
      </c>
    </row>
    <row r="62" customFormat="false" ht="15" hidden="false" customHeight="false" outlineLevel="0" collapsed="false">
      <c r="A62" s="6" t="s">
        <v>491</v>
      </c>
      <c r="B62" s="10" t="n">
        <v>0</v>
      </c>
      <c r="C62" s="10" t="n">
        <v>1</v>
      </c>
      <c r="D62" s="6" t="n">
        <f aca="false">IF(m_sex="female",C62,B62)</f>
        <v>1</v>
      </c>
      <c r="E62" s="7" t="s">
        <v>492</v>
      </c>
    </row>
    <row r="63" customFormat="false" ht="15" hidden="false" customHeight="false" outlineLevel="0" collapsed="false">
      <c r="A63" s="6" t="s">
        <v>493</v>
      </c>
      <c r="B63" s="10" t="n">
        <v>-216.0475144</v>
      </c>
      <c r="C63" s="10" t="n">
        <v>594.31747775582</v>
      </c>
      <c r="D63" s="6" t="n">
        <f aca="false">IF(m_sex="female",C63,B63)</f>
        <v>594.31747775582</v>
      </c>
      <c r="E63" s="7" t="s">
        <v>494</v>
      </c>
    </row>
    <row r="64" customFormat="false" ht="15" hidden="false" customHeight="false" outlineLevel="0" collapsed="false">
      <c r="A64" s="6" t="s">
        <v>495</v>
      </c>
      <c r="B64" s="10" t="n">
        <v>16.2606339</v>
      </c>
      <c r="C64" s="10" t="n">
        <v>-27.23842536447</v>
      </c>
      <c r="D64" s="6" t="n">
        <f aca="false">IF(m_sex="female",C64,B64)</f>
        <v>-27.23842536447</v>
      </c>
      <c r="E64" s="7" t="s">
        <v>496</v>
      </c>
    </row>
    <row r="65" customFormat="false" ht="15" hidden="false" customHeight="false" outlineLevel="0" collapsed="false">
      <c r="A65" s="6" t="s">
        <v>497</v>
      </c>
      <c r="B65" s="10" t="n">
        <v>-0.002388645</v>
      </c>
      <c r="C65" s="10" t="n">
        <v>0.82112226871</v>
      </c>
      <c r="D65" s="6" t="n">
        <f aca="false">IF(m_sex="female",C65,B65)</f>
        <v>0.82112226871</v>
      </c>
      <c r="E65" s="7" t="s">
        <v>498</v>
      </c>
    </row>
    <row r="66" customFormat="false" ht="15" hidden="false" customHeight="false" outlineLevel="0" collapsed="false">
      <c r="A66" s="6" t="s">
        <v>499</v>
      </c>
      <c r="B66" s="10" t="n">
        <v>-0.00113732</v>
      </c>
      <c r="C66" s="10" t="n">
        <v>-0.00930733913</v>
      </c>
      <c r="D66" s="6" t="n">
        <f aca="false">IF(m_sex="female",C66,B66)</f>
        <v>-0.00930733913</v>
      </c>
      <c r="E66" s="7" t="s">
        <v>500</v>
      </c>
    </row>
    <row r="67" customFormat="false" ht="15" hidden="false" customHeight="false" outlineLevel="0" collapsed="false">
      <c r="A67" s="6" t="s">
        <v>501</v>
      </c>
      <c r="B67" s="10" t="n">
        <v>7.01863E-006</v>
      </c>
      <c r="C67" s="10" t="n">
        <v>4.731582E-005</v>
      </c>
      <c r="D67" s="6" t="n">
        <f aca="false">IF(m_sex="female",C67,B67)</f>
        <v>4.731582E-005</v>
      </c>
      <c r="E67" s="7" t="s">
        <v>502</v>
      </c>
    </row>
    <row r="68" customFormat="false" ht="15" hidden="false" customHeight="false" outlineLevel="0" collapsed="false">
      <c r="A68" s="6" t="s">
        <v>503</v>
      </c>
      <c r="B68" s="10" t="n">
        <v>-1.291E-008</v>
      </c>
      <c r="C68" s="10" t="n">
        <v>-9.054E-008</v>
      </c>
      <c r="D68" s="6" t="n">
        <f aca="false">IF(m_sex="female",C68,B68)</f>
        <v>-9.054E-008</v>
      </c>
      <c r="E68" s="7" t="s">
        <v>504</v>
      </c>
    </row>
    <row r="69" customFormat="false" ht="15" hidden="false" customHeight="false" outlineLevel="0" collapsed="false">
      <c r="A69" s="6" t="s">
        <v>505</v>
      </c>
      <c r="B69" s="10" t="n">
        <v>6.315</v>
      </c>
      <c r="C69" s="10" t="n">
        <v>0</v>
      </c>
      <c r="D69" s="6" t="n">
        <f aca="false">IF(m_sex="female",C69,B69)</f>
        <v>0</v>
      </c>
      <c r="E69" s="7" t="s">
        <v>506</v>
      </c>
    </row>
    <row r="70" customFormat="false" ht="15" hidden="false" customHeight="false" outlineLevel="0" collapsed="false">
      <c r="A70" s="6" t="s">
        <v>507</v>
      </c>
      <c r="B70" s="10" t="n">
        <v>0.14</v>
      </c>
      <c r="C70" s="10" t="n">
        <v>0.22</v>
      </c>
      <c r="D70" s="6" t="n">
        <f aca="false">IF(m_sex="female",C70,B70)</f>
        <v>0.22</v>
      </c>
      <c r="E70" s="7" t="s">
        <v>508</v>
      </c>
    </row>
    <row r="71" customFormat="false" ht="15" hidden="false" customHeight="false" outlineLevel="0" collapsed="false">
      <c r="A71" s="6" t="s">
        <v>509</v>
      </c>
      <c r="B71" s="10" t="n">
        <v>25</v>
      </c>
      <c r="C71" s="10" t="n">
        <v>23.9</v>
      </c>
      <c r="D71" s="6" t="n">
        <f aca="false">IF(m_sex="female",C71,B71)</f>
        <v>23.9</v>
      </c>
      <c r="E71" s="7" t="s">
        <v>510</v>
      </c>
    </row>
    <row r="72" customFormat="false" ht="15" hidden="false" customHeight="false" outlineLevel="0" collapsed="false">
      <c r="A72" s="6" t="s">
        <v>511</v>
      </c>
      <c r="B72" s="10" t="n">
        <v>1</v>
      </c>
      <c r="C72" s="10" t="n">
        <v>0</v>
      </c>
      <c r="D72" s="6" t="n">
        <f aca="false">IF(m_sex="female",C72,B72)</f>
        <v>0</v>
      </c>
      <c r="E72" s="7" t="s">
        <v>512</v>
      </c>
    </row>
    <row r="73" customFormat="false" ht="15" hidden="false" customHeight="false" outlineLevel="0" collapsed="false">
      <c r="A73" s="6" t="s">
        <v>513</v>
      </c>
      <c r="B73" s="10" t="s">
        <v>514</v>
      </c>
      <c r="C73" s="10" t="s">
        <v>515</v>
      </c>
      <c r="D73" s="6" t="str">
        <f aca="false">IF(m_sex="female",C73,B73)</f>
        <v>FFMI</v>
      </c>
      <c r="E73" s="7" t="s">
        <v>516</v>
      </c>
    </row>
    <row r="75" customFormat="false" ht="16.15" hidden="false" customHeight="false" outlineLevel="0" collapsed="false">
      <c r="A75" s="11" t="s">
        <v>517</v>
      </c>
    </row>
    <row r="76" customFormat="false" ht="15" hidden="false" customHeight="false" outlineLevel="0" collapsed="false">
      <c r="A76" s="4" t="s">
        <v>28</v>
      </c>
      <c r="B76" s="4" t="s">
        <v>518</v>
      </c>
      <c r="C76" s="4" t="s">
        <v>519</v>
      </c>
      <c r="D76" s="4" t="s">
        <v>520</v>
      </c>
      <c r="E76" s="4" t="s">
        <v>521</v>
      </c>
      <c r="F76" s="4" t="s">
        <v>480</v>
      </c>
      <c r="G76" s="4" t="s">
        <v>44</v>
      </c>
    </row>
    <row r="77" customFormat="false" ht="15" hidden="false" customHeight="false" outlineLevel="0" collapsed="false">
      <c r="A77" s="6" t="s">
        <v>522</v>
      </c>
      <c r="B77" s="22" t="s">
        <v>322</v>
      </c>
      <c r="C77" s="22" t="s">
        <v>523</v>
      </c>
      <c r="D77" s="22" t="s">
        <v>524</v>
      </c>
      <c r="E77" s="23" t="n">
        <v>2.52</v>
      </c>
      <c r="F77" s="7" t="s">
        <v>525</v>
      </c>
      <c r="G77" s="10" t="s">
        <v>478</v>
      </c>
    </row>
    <row r="78" customFormat="false" ht="15" hidden="false" customHeight="false" outlineLevel="0" collapsed="false">
      <c r="A78" s="6" t="s">
        <v>526</v>
      </c>
      <c r="B78" s="22" t="s">
        <v>324</v>
      </c>
      <c r="C78" s="22" t="s">
        <v>523</v>
      </c>
      <c r="D78" s="22" t="s">
        <v>524</v>
      </c>
      <c r="E78" s="23" t="n">
        <v>1.885</v>
      </c>
      <c r="F78" s="7" t="s">
        <v>527</v>
      </c>
      <c r="G78" s="10" t="s">
        <v>478</v>
      </c>
    </row>
    <row r="79" customFormat="false" ht="15" hidden="false" customHeight="false" outlineLevel="0" collapsed="false">
      <c r="A79" s="6" t="s">
        <v>528</v>
      </c>
      <c r="B79" s="22" t="s">
        <v>55</v>
      </c>
      <c r="C79" s="22" t="s">
        <v>523</v>
      </c>
      <c r="D79" s="22" t="s">
        <v>524</v>
      </c>
      <c r="E79" s="23" t="n">
        <v>6.5</v>
      </c>
      <c r="F79" s="7" t="s">
        <v>529</v>
      </c>
      <c r="G79" s="10" t="s">
        <v>478</v>
      </c>
    </row>
    <row r="80" customFormat="false" ht="15" hidden="false" customHeight="false" outlineLevel="0" collapsed="false">
      <c r="A80" s="6" t="s">
        <v>530</v>
      </c>
      <c r="B80" s="22" t="s">
        <v>328</v>
      </c>
      <c r="C80" s="22" t="s">
        <v>531</v>
      </c>
      <c r="D80" s="22" t="s">
        <v>532</v>
      </c>
      <c r="E80" s="23" t="n">
        <v>1.75</v>
      </c>
      <c r="F80" s="7" t="s">
        <v>533</v>
      </c>
      <c r="G80" s="10" t="s">
        <v>478</v>
      </c>
    </row>
    <row r="81" customFormat="false" ht="15" hidden="false" customHeight="false" outlineLevel="0" collapsed="false">
      <c r="A81" s="6" t="s">
        <v>534</v>
      </c>
      <c r="B81" s="22" t="s">
        <v>330</v>
      </c>
      <c r="C81" s="22" t="s">
        <v>535</v>
      </c>
      <c r="D81" s="22" t="s">
        <v>532</v>
      </c>
      <c r="E81" s="23" t="n">
        <v>1.92</v>
      </c>
      <c r="F81" s="7" t="s">
        <v>536</v>
      </c>
      <c r="G81" s="10" t="s">
        <v>478</v>
      </c>
    </row>
    <row r="82" customFormat="false" ht="15" hidden="false" customHeight="false" outlineLevel="0" collapsed="false">
      <c r="A82" s="6" t="s">
        <v>537</v>
      </c>
      <c r="B82" s="22" t="s">
        <v>52</v>
      </c>
      <c r="C82" s="22" t="s">
        <v>55</v>
      </c>
      <c r="D82" s="22" t="s">
        <v>538</v>
      </c>
      <c r="E82" s="23" t="n">
        <v>1.133</v>
      </c>
      <c r="F82" s="7" t="s">
        <v>539</v>
      </c>
      <c r="G82" s="10" t="s">
        <v>478</v>
      </c>
    </row>
    <row r="83" customFormat="false" ht="15" hidden="false" customHeight="false" outlineLevel="0" collapsed="false">
      <c r="A83" s="6" t="s">
        <v>540</v>
      </c>
      <c r="B83" s="22" t="s">
        <v>49</v>
      </c>
      <c r="C83" s="22" t="s">
        <v>322</v>
      </c>
      <c r="D83" s="22" t="s">
        <v>538</v>
      </c>
      <c r="E83" s="23" t="n">
        <v>1</v>
      </c>
      <c r="F83" s="7" t="s">
        <v>541</v>
      </c>
      <c r="G83" s="10" t="s">
        <v>478</v>
      </c>
    </row>
    <row r="84" customFormat="false" ht="15" hidden="false" customHeight="false" outlineLevel="0" collapsed="false">
      <c r="A84" s="6" t="s">
        <v>542</v>
      </c>
      <c r="B84" s="22" t="s">
        <v>64</v>
      </c>
      <c r="C84" s="22" t="s">
        <v>32</v>
      </c>
      <c r="D84" s="22" t="s">
        <v>538</v>
      </c>
      <c r="E84" s="23" t="n">
        <f aca="false">p_whtr_best/p_whr_ideal</f>
        <v>0.642857142857143</v>
      </c>
      <c r="F84" s="7" t="s">
        <v>543</v>
      </c>
      <c r="G84" s="10" t="s">
        <v>48</v>
      </c>
    </row>
    <row r="85" customFormat="false" ht="15" hidden="false" customHeight="false" outlineLevel="0" collapsed="false">
      <c r="A85" s="6" t="s">
        <v>544</v>
      </c>
      <c r="B85" s="22" t="s">
        <v>52</v>
      </c>
      <c r="C85" s="22" t="s">
        <v>64</v>
      </c>
      <c r="D85" s="22" t="s">
        <v>538</v>
      </c>
      <c r="E85" s="23" t="n">
        <v>1</v>
      </c>
      <c r="F85" s="7" t="s">
        <v>545</v>
      </c>
      <c r="G85" s="10" t="s">
        <v>48</v>
      </c>
    </row>
    <row r="87" customFormat="false" ht="16.15" hidden="false" customHeight="false" outlineLevel="0" collapsed="false">
      <c r="A87" s="11" t="s">
        <v>546</v>
      </c>
    </row>
    <row r="88" customFormat="false" ht="15" hidden="false" customHeight="false" outlineLevel="0" collapsed="false">
      <c r="A88" s="4" t="s">
        <v>547</v>
      </c>
      <c r="B88" s="4" t="s">
        <v>548</v>
      </c>
      <c r="C88" s="4" t="s">
        <v>549</v>
      </c>
      <c r="D88" s="4" t="s">
        <v>550</v>
      </c>
      <c r="E88" s="4" t="s">
        <v>551</v>
      </c>
      <c r="F88" s="4" t="s">
        <v>552</v>
      </c>
    </row>
    <row r="89" customFormat="false" ht="15" hidden="false" customHeight="false" outlineLevel="0" collapsed="false">
      <c r="A89" s="6" t="s">
        <v>55</v>
      </c>
      <c r="B89" s="10" t="n">
        <v>1.6817</v>
      </c>
      <c r="C89" s="10" t="n">
        <v>1.3759</v>
      </c>
      <c r="D89" s="10" t="n">
        <v>0.3314</v>
      </c>
      <c r="E89" s="7" t="s">
        <v>553</v>
      </c>
      <c r="F89" s="6" t="s">
        <v>58</v>
      </c>
    </row>
    <row r="90" customFormat="false" ht="15" hidden="false" customHeight="false" outlineLevel="0" collapsed="false">
      <c r="A90" s="6" t="s">
        <v>322</v>
      </c>
      <c r="B90" s="10" t="n">
        <v>1.2033</v>
      </c>
      <c r="C90" s="10" t="n">
        <v>0</v>
      </c>
      <c r="D90" s="10" t="n">
        <v>0.1236</v>
      </c>
      <c r="E90" s="7" t="s">
        <v>554</v>
      </c>
      <c r="F90" s="6" t="s">
        <v>322</v>
      </c>
    </row>
    <row r="91" customFormat="false" ht="15" hidden="false" customHeight="false" outlineLevel="0" collapsed="false">
      <c r="A91" s="6" t="s">
        <v>324</v>
      </c>
      <c r="B91" s="10" t="n">
        <v>0.9626</v>
      </c>
      <c r="C91" s="10" t="n">
        <v>0</v>
      </c>
      <c r="D91" s="10" t="n">
        <v>0.0989</v>
      </c>
      <c r="E91" s="7" t="s">
        <v>555</v>
      </c>
      <c r="F91" s="6" t="s">
        <v>324</v>
      </c>
    </row>
    <row r="92" customFormat="false" ht="15" hidden="false" customHeight="false" outlineLevel="0" collapsed="false">
      <c r="A92" s="6" t="s">
        <v>49</v>
      </c>
      <c r="B92" s="10" t="n">
        <v>1.1424</v>
      </c>
      <c r="C92" s="10" t="n">
        <v>0</v>
      </c>
      <c r="D92" s="10" t="n">
        <v>0.1236</v>
      </c>
      <c r="E92" s="7" t="s">
        <v>556</v>
      </c>
      <c r="F92" s="6" t="s">
        <v>49</v>
      </c>
    </row>
    <row r="93" customFormat="false" ht="15" hidden="false" customHeight="false" outlineLevel="0" collapsed="false">
      <c r="A93" s="6" t="s">
        <v>328</v>
      </c>
      <c r="B93" s="10" t="n">
        <v>0</v>
      </c>
      <c r="C93" s="10" t="n">
        <v>1.3868</v>
      </c>
      <c r="D93" s="10" t="n">
        <v>0.1805</v>
      </c>
      <c r="E93" s="7" t="s">
        <v>557</v>
      </c>
      <c r="F93" s="6" t="s">
        <v>558</v>
      </c>
    </row>
    <row r="94" customFormat="false" ht="15" hidden="false" customHeight="false" outlineLevel="0" collapsed="false">
      <c r="A94" s="6" t="s">
        <v>330</v>
      </c>
      <c r="B94" s="10" t="n">
        <v>0</v>
      </c>
      <c r="C94" s="10" t="n">
        <v>0.9298</v>
      </c>
      <c r="D94" s="10" t="n">
        <v>0.121</v>
      </c>
      <c r="E94" s="7" t="s">
        <v>559</v>
      </c>
      <c r="F94" s="6" t="s">
        <v>560</v>
      </c>
    </row>
    <row r="96" customFormat="false" ht="15" hidden="false" customHeight="false" outlineLevel="0" collapsed="false">
      <c r="A96" s="7" t="s">
        <v>561</v>
      </c>
    </row>
    <row r="98" customFormat="false" ht="16.15" hidden="false" customHeight="false" outlineLevel="0" collapsed="false">
      <c r="A98" s="11" t="s">
        <v>562</v>
      </c>
    </row>
    <row r="99" customFormat="false" ht="15" hidden="false" customHeight="false" outlineLevel="0" collapsed="false">
      <c r="A99" s="4" t="s">
        <v>310</v>
      </c>
      <c r="B99" s="4" t="s">
        <v>563</v>
      </c>
    </row>
    <row r="100" customFormat="false" ht="15" hidden="false" customHeight="false" outlineLevel="0" collapsed="false">
      <c r="A100" s="6" t="s">
        <v>564</v>
      </c>
      <c r="B100" s="10" t="n">
        <v>0</v>
      </c>
    </row>
    <row r="101" customFormat="false" ht="15" hidden="false" customHeight="false" outlineLevel="0" collapsed="false">
      <c r="A101" s="6" t="s">
        <v>565</v>
      </c>
      <c r="B101" s="10" t="n">
        <v>30</v>
      </c>
    </row>
    <row r="102" customFormat="false" ht="15" hidden="false" customHeight="false" outlineLevel="0" collapsed="false">
      <c r="A102" s="6" t="s">
        <v>566</v>
      </c>
      <c r="B102" s="10" t="n">
        <v>45</v>
      </c>
    </row>
    <row r="103" customFormat="false" ht="15" hidden="false" customHeight="false" outlineLevel="0" collapsed="false">
      <c r="A103" s="6" t="s">
        <v>567</v>
      </c>
      <c r="B103" s="10" t="n">
        <v>60</v>
      </c>
    </row>
    <row r="104" customFormat="false" ht="15" hidden="false" customHeight="false" outlineLevel="0" collapsed="false">
      <c r="A104" s="6" t="s">
        <v>568</v>
      </c>
      <c r="B104" s="10" t="n">
        <v>75</v>
      </c>
    </row>
    <row r="105" customFormat="false" ht="15" hidden="false" customHeight="false" outlineLevel="0" collapsed="false">
      <c r="A105" s="6" t="s">
        <v>569</v>
      </c>
      <c r="B105" s="10" t="n">
        <v>87.5</v>
      </c>
    </row>
    <row r="106" customFormat="false" ht="15" hidden="false" customHeight="false" outlineLevel="0" collapsed="false">
      <c r="A106" s="6" t="s">
        <v>570</v>
      </c>
      <c r="B106" s="10" t="n">
        <v>100</v>
      </c>
    </row>
    <row r="107" customFormat="false" ht="15" hidden="false" customHeight="false" outlineLevel="0" collapsed="false">
      <c r="A107" s="6" t="s">
        <v>571</v>
      </c>
      <c r="B107" s="10" t="n">
        <v>112.5</v>
      </c>
    </row>
    <row r="108" customFormat="false" ht="15" hidden="false" customHeight="false" outlineLevel="0" collapsed="false">
      <c r="A108" s="6" t="s">
        <v>572</v>
      </c>
      <c r="B108" s="10" t="n">
        <v>125</v>
      </c>
    </row>
    <row r="110" customFormat="false" ht="15" hidden="false" customHeight="false" outlineLevel="0" collapsed="false">
      <c r="A110" s="7" t="s">
        <v>573</v>
      </c>
    </row>
    <row r="112" customFormat="false" ht="16.15" hidden="false" customHeight="false" outlineLevel="0" collapsed="false">
      <c r="A112" s="11" t="s">
        <v>574</v>
      </c>
    </row>
    <row r="113" customFormat="false" ht="15" hidden="false" customHeight="false" outlineLevel="0" collapsed="false">
      <c r="A113" s="4" t="s">
        <v>40</v>
      </c>
      <c r="B113" s="4" t="s">
        <v>575</v>
      </c>
    </row>
    <row r="114" customFormat="false" ht="15" hidden="false" customHeight="false" outlineLevel="0" collapsed="false">
      <c r="A114" s="6" t="n">
        <v>14</v>
      </c>
      <c r="B114" s="23" t="n">
        <v>1.23</v>
      </c>
    </row>
    <row r="115" customFormat="false" ht="15" hidden="false" customHeight="false" outlineLevel="0" collapsed="false">
      <c r="A115" s="6" t="n">
        <v>15</v>
      </c>
      <c r="B115" s="23" t="n">
        <v>1.18</v>
      </c>
    </row>
    <row r="116" customFormat="false" ht="15" hidden="false" customHeight="false" outlineLevel="0" collapsed="false">
      <c r="A116" s="6" t="n">
        <v>16</v>
      </c>
      <c r="B116" s="23" t="n">
        <v>1.13</v>
      </c>
    </row>
    <row r="117" customFormat="false" ht="15" hidden="false" customHeight="false" outlineLevel="0" collapsed="false">
      <c r="A117" s="6" t="n">
        <v>17</v>
      </c>
      <c r="B117" s="23" t="n">
        <v>1.08</v>
      </c>
    </row>
    <row r="118" customFormat="false" ht="15" hidden="false" customHeight="false" outlineLevel="0" collapsed="false">
      <c r="A118" s="6" t="n">
        <v>18</v>
      </c>
      <c r="B118" s="23" t="n">
        <v>1.06</v>
      </c>
    </row>
    <row r="119" customFormat="false" ht="15" hidden="false" customHeight="false" outlineLevel="0" collapsed="false">
      <c r="A119" s="6" t="n">
        <v>19</v>
      </c>
      <c r="B119" s="23" t="n">
        <v>1.04</v>
      </c>
    </row>
    <row r="120" customFormat="false" ht="15" hidden="false" customHeight="false" outlineLevel="0" collapsed="false">
      <c r="A120" s="6" t="n">
        <v>20</v>
      </c>
      <c r="B120" s="23" t="n">
        <v>1.03</v>
      </c>
    </row>
    <row r="121" customFormat="false" ht="15" hidden="false" customHeight="false" outlineLevel="0" collapsed="false">
      <c r="A121" s="6" t="n">
        <v>21</v>
      </c>
      <c r="B121" s="23" t="n">
        <v>1.02</v>
      </c>
    </row>
    <row r="122" customFormat="false" ht="15" hidden="false" customHeight="false" outlineLevel="0" collapsed="false">
      <c r="A122" s="6" t="n">
        <v>22</v>
      </c>
      <c r="B122" s="23" t="n">
        <v>1.01</v>
      </c>
    </row>
    <row r="123" customFormat="false" ht="15" hidden="false" customHeight="false" outlineLevel="0" collapsed="false">
      <c r="A123" s="6" t="n">
        <v>23</v>
      </c>
      <c r="B123" s="23" t="n">
        <v>1</v>
      </c>
    </row>
    <row r="124" customFormat="false" ht="15" hidden="false" customHeight="false" outlineLevel="0" collapsed="false">
      <c r="A124" s="6" t="n">
        <v>24</v>
      </c>
      <c r="B124" s="23" t="n">
        <v>1</v>
      </c>
    </row>
    <row r="125" customFormat="false" ht="15" hidden="false" customHeight="false" outlineLevel="0" collapsed="false">
      <c r="A125" s="6" t="n">
        <v>25</v>
      </c>
      <c r="B125" s="23" t="n">
        <v>1</v>
      </c>
    </row>
    <row r="126" customFormat="false" ht="15" hidden="false" customHeight="false" outlineLevel="0" collapsed="false">
      <c r="A126" s="6" t="n">
        <v>26</v>
      </c>
      <c r="B126" s="23" t="n">
        <v>1</v>
      </c>
    </row>
    <row r="127" customFormat="false" ht="15" hidden="false" customHeight="false" outlineLevel="0" collapsed="false">
      <c r="A127" s="6" t="n">
        <v>27</v>
      </c>
      <c r="B127" s="23" t="n">
        <v>1</v>
      </c>
    </row>
    <row r="128" customFormat="false" ht="15" hidden="false" customHeight="false" outlineLevel="0" collapsed="false">
      <c r="A128" s="6" t="n">
        <v>28</v>
      </c>
      <c r="B128" s="23" t="n">
        <v>1</v>
      </c>
    </row>
    <row r="129" customFormat="false" ht="15" hidden="false" customHeight="false" outlineLevel="0" collapsed="false">
      <c r="A129" s="6" t="n">
        <v>29</v>
      </c>
      <c r="B129" s="23" t="n">
        <v>1</v>
      </c>
    </row>
    <row r="130" customFormat="false" ht="15" hidden="false" customHeight="false" outlineLevel="0" collapsed="false">
      <c r="A130" s="6" t="n">
        <v>30</v>
      </c>
      <c r="B130" s="23" t="n">
        <v>1</v>
      </c>
    </row>
    <row r="131" customFormat="false" ht="15" hidden="false" customHeight="false" outlineLevel="0" collapsed="false">
      <c r="A131" s="6" t="n">
        <v>31</v>
      </c>
      <c r="B131" s="23" t="n">
        <v>1</v>
      </c>
    </row>
    <row r="132" customFormat="false" ht="15" hidden="false" customHeight="false" outlineLevel="0" collapsed="false">
      <c r="A132" s="6" t="n">
        <v>32</v>
      </c>
      <c r="B132" s="23" t="n">
        <v>1</v>
      </c>
    </row>
    <row r="133" customFormat="false" ht="15" hidden="false" customHeight="false" outlineLevel="0" collapsed="false">
      <c r="A133" s="6" t="n">
        <v>33</v>
      </c>
      <c r="B133" s="23" t="n">
        <v>1</v>
      </c>
    </row>
    <row r="134" customFormat="false" ht="15" hidden="false" customHeight="false" outlineLevel="0" collapsed="false">
      <c r="A134" s="6" t="n">
        <v>34</v>
      </c>
      <c r="B134" s="23" t="n">
        <v>1</v>
      </c>
    </row>
    <row r="135" customFormat="false" ht="15" hidden="false" customHeight="false" outlineLevel="0" collapsed="false">
      <c r="A135" s="6" t="n">
        <v>35</v>
      </c>
      <c r="B135" s="23" t="n">
        <v>1</v>
      </c>
    </row>
    <row r="136" customFormat="false" ht="15" hidden="false" customHeight="false" outlineLevel="0" collapsed="false">
      <c r="A136" s="6" t="n">
        <v>36</v>
      </c>
      <c r="B136" s="23" t="n">
        <v>1</v>
      </c>
    </row>
    <row r="137" customFormat="false" ht="15" hidden="false" customHeight="false" outlineLevel="0" collapsed="false">
      <c r="A137" s="6" t="n">
        <v>37</v>
      </c>
      <c r="B137" s="23" t="n">
        <v>1</v>
      </c>
    </row>
    <row r="138" customFormat="false" ht="15" hidden="false" customHeight="false" outlineLevel="0" collapsed="false">
      <c r="A138" s="6" t="n">
        <v>38</v>
      </c>
      <c r="B138" s="23" t="n">
        <v>1</v>
      </c>
    </row>
    <row r="139" customFormat="false" ht="15" hidden="false" customHeight="false" outlineLevel="0" collapsed="false">
      <c r="A139" s="6" t="n">
        <v>39</v>
      </c>
      <c r="B139" s="23" t="n">
        <v>1</v>
      </c>
    </row>
    <row r="140" customFormat="false" ht="15" hidden="false" customHeight="false" outlineLevel="0" collapsed="false">
      <c r="A140" s="6" t="n">
        <v>40</v>
      </c>
      <c r="B140" s="23" t="n">
        <v>1</v>
      </c>
    </row>
    <row r="141" customFormat="false" ht="15" hidden="false" customHeight="false" outlineLevel="0" collapsed="false">
      <c r="A141" s="6" t="n">
        <v>41</v>
      </c>
      <c r="B141" s="23" t="n">
        <v>1.01</v>
      </c>
    </row>
    <row r="142" customFormat="false" ht="15" hidden="false" customHeight="false" outlineLevel="0" collapsed="false">
      <c r="A142" s="6" t="n">
        <v>42</v>
      </c>
      <c r="B142" s="23" t="n">
        <v>1.02</v>
      </c>
    </row>
    <row r="143" customFormat="false" ht="15" hidden="false" customHeight="false" outlineLevel="0" collapsed="false">
      <c r="A143" s="6" t="n">
        <v>43</v>
      </c>
      <c r="B143" s="23" t="n">
        <v>1.031</v>
      </c>
    </row>
    <row r="144" customFormat="false" ht="15" hidden="false" customHeight="false" outlineLevel="0" collapsed="false">
      <c r="A144" s="6" t="n">
        <v>44</v>
      </c>
      <c r="B144" s="23" t="n">
        <v>1.043</v>
      </c>
    </row>
    <row r="145" customFormat="false" ht="15" hidden="false" customHeight="false" outlineLevel="0" collapsed="false">
      <c r="A145" s="6" t="n">
        <v>45</v>
      </c>
      <c r="B145" s="23" t="n">
        <v>1.055</v>
      </c>
    </row>
    <row r="146" customFormat="false" ht="15" hidden="false" customHeight="false" outlineLevel="0" collapsed="false">
      <c r="A146" s="6" t="n">
        <v>46</v>
      </c>
      <c r="B146" s="23" t="n">
        <v>1.068</v>
      </c>
    </row>
    <row r="147" customFormat="false" ht="15" hidden="false" customHeight="false" outlineLevel="0" collapsed="false">
      <c r="A147" s="6" t="n">
        <v>47</v>
      </c>
      <c r="B147" s="23" t="n">
        <v>1.082</v>
      </c>
    </row>
    <row r="148" customFormat="false" ht="15" hidden="false" customHeight="false" outlineLevel="0" collapsed="false">
      <c r="A148" s="6" t="n">
        <v>48</v>
      </c>
      <c r="B148" s="23" t="n">
        <v>1.097</v>
      </c>
    </row>
    <row r="149" customFormat="false" ht="15" hidden="false" customHeight="false" outlineLevel="0" collapsed="false">
      <c r="A149" s="6" t="n">
        <v>49</v>
      </c>
      <c r="B149" s="23" t="n">
        <v>1.113</v>
      </c>
    </row>
    <row r="150" customFormat="false" ht="15" hidden="false" customHeight="false" outlineLevel="0" collapsed="false">
      <c r="A150" s="6" t="n">
        <v>50</v>
      </c>
      <c r="B150" s="23" t="n">
        <v>1.13</v>
      </c>
    </row>
    <row r="151" customFormat="false" ht="15" hidden="false" customHeight="false" outlineLevel="0" collapsed="false">
      <c r="A151" s="6" t="n">
        <v>51</v>
      </c>
      <c r="B151" s="23" t="n">
        <v>1.147</v>
      </c>
    </row>
    <row r="152" customFormat="false" ht="15" hidden="false" customHeight="false" outlineLevel="0" collapsed="false">
      <c r="A152" s="6" t="n">
        <v>52</v>
      </c>
      <c r="B152" s="23" t="n">
        <v>1.165</v>
      </c>
    </row>
    <row r="153" customFormat="false" ht="15" hidden="false" customHeight="false" outlineLevel="0" collapsed="false">
      <c r="A153" s="6" t="n">
        <v>53</v>
      </c>
      <c r="B153" s="23" t="n">
        <v>1.184</v>
      </c>
    </row>
    <row r="154" customFormat="false" ht="15" hidden="false" customHeight="false" outlineLevel="0" collapsed="false">
      <c r="A154" s="6" t="n">
        <v>54</v>
      </c>
      <c r="B154" s="23" t="n">
        <v>1.204</v>
      </c>
    </row>
    <row r="155" customFormat="false" ht="15" hidden="false" customHeight="false" outlineLevel="0" collapsed="false">
      <c r="A155" s="6" t="n">
        <v>55</v>
      </c>
      <c r="B155" s="23" t="n">
        <v>1.225</v>
      </c>
    </row>
    <row r="156" customFormat="false" ht="15" hidden="false" customHeight="false" outlineLevel="0" collapsed="false">
      <c r="A156" s="6" t="n">
        <v>56</v>
      </c>
      <c r="B156" s="23" t="n">
        <v>1.246</v>
      </c>
    </row>
    <row r="157" customFormat="false" ht="15" hidden="false" customHeight="false" outlineLevel="0" collapsed="false">
      <c r="A157" s="6" t="n">
        <v>57</v>
      </c>
      <c r="B157" s="23" t="n">
        <v>1.268</v>
      </c>
    </row>
    <row r="158" customFormat="false" ht="15" hidden="false" customHeight="false" outlineLevel="0" collapsed="false">
      <c r="A158" s="6" t="n">
        <v>58</v>
      </c>
      <c r="B158" s="23" t="n">
        <v>1.291</v>
      </c>
    </row>
    <row r="159" customFormat="false" ht="15" hidden="false" customHeight="false" outlineLevel="0" collapsed="false">
      <c r="A159" s="6" t="n">
        <v>59</v>
      </c>
      <c r="B159" s="23" t="n">
        <v>1.315</v>
      </c>
    </row>
    <row r="160" customFormat="false" ht="15" hidden="false" customHeight="false" outlineLevel="0" collapsed="false">
      <c r="A160" s="6" t="n">
        <v>60</v>
      </c>
      <c r="B160" s="23" t="n">
        <v>1.34</v>
      </c>
    </row>
    <row r="161" customFormat="false" ht="15" hidden="false" customHeight="false" outlineLevel="0" collapsed="false">
      <c r="A161" s="6" t="n">
        <v>61</v>
      </c>
      <c r="B161" s="23" t="n">
        <v>1.366</v>
      </c>
    </row>
    <row r="162" customFormat="false" ht="15" hidden="false" customHeight="false" outlineLevel="0" collapsed="false">
      <c r="A162" s="6" t="n">
        <v>62</v>
      </c>
      <c r="B162" s="23" t="n">
        <v>1.393</v>
      </c>
    </row>
    <row r="163" customFormat="false" ht="15" hidden="false" customHeight="false" outlineLevel="0" collapsed="false">
      <c r="A163" s="6" t="n">
        <v>63</v>
      </c>
      <c r="B163" s="23" t="n">
        <v>1.421</v>
      </c>
    </row>
    <row r="164" customFormat="false" ht="15" hidden="false" customHeight="false" outlineLevel="0" collapsed="false">
      <c r="A164" s="6" t="n">
        <v>64</v>
      </c>
      <c r="B164" s="23" t="n">
        <v>1.45</v>
      </c>
    </row>
    <row r="165" customFormat="false" ht="15" hidden="false" customHeight="false" outlineLevel="0" collapsed="false">
      <c r="A165" s="6" t="n">
        <v>65</v>
      </c>
      <c r="B165" s="23" t="n">
        <v>1.48</v>
      </c>
    </row>
    <row r="166" customFormat="false" ht="15" hidden="false" customHeight="false" outlineLevel="0" collapsed="false">
      <c r="A166" s="6" t="n">
        <v>66</v>
      </c>
      <c r="B166" s="23" t="n">
        <v>1.511</v>
      </c>
    </row>
    <row r="167" customFormat="false" ht="15" hidden="false" customHeight="false" outlineLevel="0" collapsed="false">
      <c r="A167" s="6" t="n">
        <v>67</v>
      </c>
      <c r="B167" s="23" t="n">
        <v>1.543</v>
      </c>
    </row>
    <row r="168" customFormat="false" ht="15" hidden="false" customHeight="false" outlineLevel="0" collapsed="false">
      <c r="A168" s="6" t="n">
        <v>68</v>
      </c>
      <c r="B168" s="23" t="n">
        <v>1.576</v>
      </c>
    </row>
    <row r="169" customFormat="false" ht="15" hidden="false" customHeight="false" outlineLevel="0" collapsed="false">
      <c r="A169" s="6" t="n">
        <v>69</v>
      </c>
      <c r="B169" s="23" t="n">
        <v>1.61</v>
      </c>
    </row>
    <row r="170" customFormat="false" ht="15" hidden="false" customHeight="false" outlineLevel="0" collapsed="false">
      <c r="A170" s="6" t="n">
        <v>70</v>
      </c>
      <c r="B170" s="23" t="n">
        <v>1.645</v>
      </c>
    </row>
    <row r="171" customFormat="false" ht="15" hidden="false" customHeight="false" outlineLevel="0" collapsed="false">
      <c r="A171" s="6" t="n">
        <v>71</v>
      </c>
      <c r="B171" s="23" t="n">
        <v>1.681</v>
      </c>
    </row>
    <row r="172" customFormat="false" ht="15" hidden="false" customHeight="false" outlineLevel="0" collapsed="false">
      <c r="A172" s="6" t="n">
        <v>72</v>
      </c>
      <c r="B172" s="23" t="n">
        <v>1.718</v>
      </c>
    </row>
    <row r="173" customFormat="false" ht="15" hidden="false" customHeight="false" outlineLevel="0" collapsed="false">
      <c r="A173" s="6" t="n">
        <v>73</v>
      </c>
      <c r="B173" s="23" t="n">
        <v>1.756</v>
      </c>
    </row>
    <row r="174" customFormat="false" ht="15" hidden="false" customHeight="false" outlineLevel="0" collapsed="false">
      <c r="A174" s="6" t="n">
        <v>74</v>
      </c>
      <c r="B174" s="23" t="n">
        <v>1.795</v>
      </c>
    </row>
    <row r="175" customFormat="false" ht="15" hidden="false" customHeight="false" outlineLevel="0" collapsed="false">
      <c r="A175" s="6" t="n">
        <v>75</v>
      </c>
      <c r="B175" s="23" t="n">
        <v>1.835</v>
      </c>
    </row>
    <row r="176" customFormat="false" ht="15" hidden="false" customHeight="false" outlineLevel="0" collapsed="false">
      <c r="A176" s="6" t="n">
        <v>76</v>
      </c>
      <c r="B176" s="23" t="n">
        <v>1.876</v>
      </c>
    </row>
    <row r="177" customFormat="false" ht="15" hidden="false" customHeight="false" outlineLevel="0" collapsed="false">
      <c r="A177" s="6" t="n">
        <v>77</v>
      </c>
      <c r="B177" s="23" t="n">
        <v>1.918</v>
      </c>
    </row>
    <row r="178" customFormat="false" ht="15" hidden="false" customHeight="false" outlineLevel="0" collapsed="false">
      <c r="A178" s="6" t="n">
        <v>78</v>
      </c>
      <c r="B178" s="23" t="n">
        <v>1.961</v>
      </c>
    </row>
    <row r="179" customFormat="false" ht="15" hidden="false" customHeight="false" outlineLevel="0" collapsed="false">
      <c r="A179" s="6" t="n">
        <v>79</v>
      </c>
      <c r="B179" s="23" t="n">
        <v>2.005</v>
      </c>
    </row>
    <row r="180" customFormat="false" ht="15" hidden="false" customHeight="false" outlineLevel="0" collapsed="false">
      <c r="A180" s="6" t="n">
        <v>80</v>
      </c>
      <c r="B180" s="23" t="n">
        <v>2.05</v>
      </c>
    </row>
    <row r="181" customFormat="false" ht="15" hidden="false" customHeight="false" outlineLevel="0" collapsed="false">
      <c r="A181" s="6" t="n">
        <v>81</v>
      </c>
      <c r="B181" s="23" t="n">
        <v>2.096</v>
      </c>
    </row>
    <row r="182" customFormat="false" ht="15" hidden="false" customHeight="false" outlineLevel="0" collapsed="false">
      <c r="A182" s="6" t="n">
        <v>82</v>
      </c>
      <c r="B182" s="23" t="n">
        <v>2.143</v>
      </c>
    </row>
    <row r="183" customFormat="false" ht="15" hidden="false" customHeight="false" outlineLevel="0" collapsed="false">
      <c r="A183" s="6" t="n">
        <v>83</v>
      </c>
      <c r="B183" s="23" t="n">
        <v>2.19</v>
      </c>
    </row>
    <row r="184" customFormat="false" ht="15" hidden="false" customHeight="false" outlineLevel="0" collapsed="false">
      <c r="A184" s="6" t="n">
        <v>84</v>
      </c>
      <c r="B184" s="23" t="n">
        <v>2.238</v>
      </c>
    </row>
    <row r="185" customFormat="false" ht="15" hidden="false" customHeight="false" outlineLevel="0" collapsed="false">
      <c r="A185" s="6" t="n">
        <v>85</v>
      </c>
      <c r="B185" s="23" t="n">
        <v>2.287</v>
      </c>
    </row>
    <row r="186" customFormat="false" ht="15" hidden="false" customHeight="false" outlineLevel="0" collapsed="false">
      <c r="A186" s="6" t="n">
        <v>86</v>
      </c>
      <c r="B186" s="23" t="n">
        <v>2.337</v>
      </c>
    </row>
    <row r="187" customFormat="false" ht="15" hidden="false" customHeight="false" outlineLevel="0" collapsed="false">
      <c r="A187" s="6" t="n">
        <v>87</v>
      </c>
      <c r="B187" s="23" t="n">
        <v>2.388</v>
      </c>
    </row>
    <row r="188" customFormat="false" ht="15" hidden="false" customHeight="false" outlineLevel="0" collapsed="false">
      <c r="A188" s="6" t="n">
        <v>88</v>
      </c>
      <c r="B188" s="23" t="n">
        <v>2.44</v>
      </c>
    </row>
    <row r="189" customFormat="false" ht="15" hidden="false" customHeight="false" outlineLevel="0" collapsed="false">
      <c r="A189" s="6" t="n">
        <v>89</v>
      </c>
      <c r="B189" s="23" t="n">
        <v>2.494</v>
      </c>
    </row>
    <row r="190" customFormat="false" ht="15" hidden="false" customHeight="false" outlineLevel="0" collapsed="false">
      <c r="A190" s="6" t="n">
        <v>90</v>
      </c>
      <c r="B190" s="23" t="n">
        <v>2.549</v>
      </c>
    </row>
    <row r="192" customFormat="false" ht="15" hidden="false" customHeight="false" outlineLevel="0" collapsed="false">
      <c r="A192" s="7" t="s">
        <v>576</v>
      </c>
    </row>
    <row r="194" customFormat="false" ht="16.15" hidden="false" customHeight="false" outlineLevel="0" collapsed="false">
      <c r="A194" s="11" t="s">
        <v>577</v>
      </c>
    </row>
    <row r="195" customFormat="false" ht="15" hidden="false" customHeight="false" outlineLevel="0" collapsed="false">
      <c r="A195" s="4" t="s">
        <v>28</v>
      </c>
      <c r="B195" s="4" t="s">
        <v>578</v>
      </c>
      <c r="C195" s="4" t="s">
        <v>306</v>
      </c>
      <c r="D195" s="4" t="s">
        <v>579</v>
      </c>
      <c r="E195" s="4" t="s">
        <v>580</v>
      </c>
      <c r="F195" s="4" t="s">
        <v>581</v>
      </c>
      <c r="G195" s="4" t="s">
        <v>582</v>
      </c>
      <c r="H195" s="4" t="s">
        <v>480</v>
      </c>
      <c r="I195" s="4" t="s">
        <v>341</v>
      </c>
      <c r="J195" s="4" t="s">
        <v>342</v>
      </c>
      <c r="K195" s="4" t="s">
        <v>343</v>
      </c>
      <c r="L195" s="4" t="s">
        <v>344</v>
      </c>
      <c r="M195" s="4" t="s">
        <v>345</v>
      </c>
      <c r="N195" s="4" t="s">
        <v>346</v>
      </c>
      <c r="O195" s="4" t="s">
        <v>347</v>
      </c>
      <c r="P195" s="4" t="s">
        <v>348</v>
      </c>
      <c r="Q195" s="4" t="s">
        <v>349</v>
      </c>
      <c r="R195" s="4" t="s">
        <v>350</v>
      </c>
      <c r="S195" s="4" t="s">
        <v>351</v>
      </c>
      <c r="T195" s="4" t="s">
        <v>352</v>
      </c>
      <c r="U195" s="4" t="s">
        <v>353</v>
      </c>
      <c r="V195" s="4" t="s">
        <v>354</v>
      </c>
      <c r="W195" s="4" t="s">
        <v>355</v>
      </c>
      <c r="X195" s="4" t="s">
        <v>356</v>
      </c>
      <c r="Y195" s="4" t="s">
        <v>357</v>
      </c>
      <c r="Z195" s="4" t="s">
        <v>358</v>
      </c>
      <c r="AA195" s="4" t="s">
        <v>359</v>
      </c>
      <c r="AB195" s="4" t="s">
        <v>360</v>
      </c>
      <c r="AC195" s="4" t="s">
        <v>583</v>
      </c>
      <c r="AD195" s="4" t="s">
        <v>584</v>
      </c>
      <c r="AE195" s="4" t="s">
        <v>585</v>
      </c>
    </row>
    <row r="196" customFormat="false" ht="15" hidden="false" customHeight="false" outlineLevel="0" collapsed="false">
      <c r="A196" s="6" t="s">
        <v>311</v>
      </c>
      <c r="B196" s="6" t="s">
        <v>586</v>
      </c>
      <c r="C196" s="6" t="s">
        <v>311</v>
      </c>
      <c r="D196" s="10" t="n">
        <v>0</v>
      </c>
      <c r="E196" s="10" t="s">
        <v>587</v>
      </c>
      <c r="F196" s="14" t="n">
        <f aca="false">IF(m_sex="female",AE196,AD196)</f>
        <v>0.84</v>
      </c>
      <c r="G196" s="14" t="n">
        <f aca="false">F196*IF(E196="",1,INDEX($G$196:$G$212,MATCH(E196,$A$196:$A$212,0)))</f>
        <v>0.84</v>
      </c>
      <c r="H196" s="7" t="s">
        <v>588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 t="n">
        <v>1</v>
      </c>
      <c r="U196" s="10"/>
      <c r="V196" s="10" t="n">
        <v>1</v>
      </c>
      <c r="W196" s="10" t="n">
        <v>1</v>
      </c>
      <c r="X196" s="10" t="n">
        <v>1</v>
      </c>
      <c r="Y196" s="10" t="n">
        <v>1</v>
      </c>
      <c r="Z196" s="10" t="n">
        <v>1</v>
      </c>
      <c r="AA196" s="10" t="n">
        <v>1</v>
      </c>
      <c r="AB196" s="10"/>
      <c r="AC196" s="10" t="n">
        <v>0</v>
      </c>
      <c r="AD196" s="23" t="n">
        <v>0.87</v>
      </c>
      <c r="AE196" s="23" t="n">
        <v>0.84</v>
      </c>
    </row>
    <row r="197" customFormat="false" ht="15" hidden="false" customHeight="false" outlineLevel="0" collapsed="false">
      <c r="A197" s="6" t="s">
        <v>589</v>
      </c>
      <c r="B197" s="6" t="s">
        <v>590</v>
      </c>
      <c r="C197" s="6" t="s">
        <v>311</v>
      </c>
      <c r="D197" s="10" t="n">
        <v>0</v>
      </c>
      <c r="E197" s="10" t="s">
        <v>311</v>
      </c>
      <c r="F197" s="14" t="n">
        <f aca="false">IF(m_sex="female",AE197,AD197)</f>
        <v>0.85</v>
      </c>
      <c r="G197" s="14" t="n">
        <f aca="false">F197*IF(E197="",1,INDEX($G$196:$G$212,MATCH(E197,$A$196:$A$212,0)))</f>
        <v>0.714</v>
      </c>
      <c r="H197" s="7" t="s">
        <v>591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 t="n">
        <v>1</v>
      </c>
      <c r="U197" s="10"/>
      <c r="V197" s="10"/>
      <c r="W197" s="10" t="n">
        <v>1</v>
      </c>
      <c r="X197" s="10"/>
      <c r="Y197" s="10" t="n">
        <v>1</v>
      </c>
      <c r="Z197" s="10" t="n">
        <v>1</v>
      </c>
      <c r="AA197" s="10" t="n">
        <v>1</v>
      </c>
      <c r="AB197" s="10"/>
      <c r="AC197" s="10" t="n">
        <v>0</v>
      </c>
      <c r="AD197" s="23" t="n">
        <v>0.85</v>
      </c>
      <c r="AE197" s="23" t="n">
        <v>0.85</v>
      </c>
    </row>
    <row r="198" customFormat="false" ht="15" hidden="false" customHeight="false" outlineLevel="0" collapsed="false">
      <c r="A198" s="6" t="s">
        <v>592</v>
      </c>
      <c r="B198" s="6" t="s">
        <v>593</v>
      </c>
      <c r="C198" s="6" t="s">
        <v>311</v>
      </c>
      <c r="D198" s="10" t="n">
        <v>0</v>
      </c>
      <c r="E198" s="10" t="s">
        <v>311</v>
      </c>
      <c r="F198" s="14" t="n">
        <f aca="false">IF(m_sex="female",AE198,AD198)</f>
        <v>1.4</v>
      </c>
      <c r="G198" s="14" t="n">
        <f aca="false">F198*IF(E198="",1,INDEX($G$196:$G$212,MATCH(E198,$A$196:$A$212,0)))</f>
        <v>1.176</v>
      </c>
      <c r="H198" s="7" t="s">
        <v>594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 t="n">
        <v>1</v>
      </c>
      <c r="X198" s="10"/>
      <c r="Y198" s="10" t="n">
        <v>1</v>
      </c>
      <c r="Z198" s="10"/>
      <c r="AA198" s="10" t="n">
        <v>1</v>
      </c>
      <c r="AB198" s="10"/>
      <c r="AC198" s="10" t="n">
        <v>1</v>
      </c>
      <c r="AD198" s="23" t="n">
        <v>1.4</v>
      </c>
      <c r="AE198" s="23" t="n">
        <v>1.4</v>
      </c>
    </row>
    <row r="199" customFormat="false" ht="15" hidden="false" customHeight="false" outlineLevel="0" collapsed="false">
      <c r="A199" s="6" t="s">
        <v>587</v>
      </c>
      <c r="B199" s="6" t="s">
        <v>595</v>
      </c>
      <c r="C199" s="6" t="s">
        <v>312</v>
      </c>
      <c r="D199" s="10" t="n">
        <v>0</v>
      </c>
      <c r="E199" s="10"/>
      <c r="F199" s="14" t="n">
        <f aca="false">IF(m_sex="female",AE199,AD199)</f>
        <v>1</v>
      </c>
      <c r="G199" s="14" t="n">
        <f aca="false">F199*IF(E199="",1,INDEX($G$196:$G$212,MATCH(E199,$A$196:$A$212,0)))</f>
        <v>1</v>
      </c>
      <c r="H199" s="7" t="s">
        <v>596</v>
      </c>
      <c r="I199" s="10" t="n">
        <v>1</v>
      </c>
      <c r="J199" s="10" t="n">
        <v>1</v>
      </c>
      <c r="K199" s="10"/>
      <c r="L199" s="10"/>
      <c r="M199" s="10"/>
      <c r="N199" s="10"/>
      <c r="O199" s="10"/>
      <c r="P199" s="10"/>
      <c r="Q199" s="10"/>
      <c r="R199" s="10" t="n">
        <v>1</v>
      </c>
      <c r="S199" s="10" t="n">
        <v>1</v>
      </c>
      <c r="T199" s="10" t="n">
        <v>1</v>
      </c>
      <c r="U199" s="10"/>
      <c r="V199" s="10" t="n">
        <v>1</v>
      </c>
      <c r="W199" s="10" t="n">
        <v>1</v>
      </c>
      <c r="X199" s="10" t="n">
        <v>1</v>
      </c>
      <c r="Y199" s="10" t="n">
        <v>1</v>
      </c>
      <c r="Z199" s="10"/>
      <c r="AA199" s="10"/>
      <c r="AB199" s="10"/>
      <c r="AC199" s="10" t="n">
        <v>0</v>
      </c>
      <c r="AD199" s="23" t="n">
        <v>1</v>
      </c>
      <c r="AE199" s="23" t="n">
        <v>1</v>
      </c>
    </row>
    <row r="200" customFormat="false" ht="15" hidden="false" customHeight="false" outlineLevel="0" collapsed="false">
      <c r="A200" s="6" t="s">
        <v>597</v>
      </c>
      <c r="B200" s="6" t="s">
        <v>598</v>
      </c>
      <c r="C200" s="6" t="s">
        <v>312</v>
      </c>
      <c r="D200" s="10" t="n">
        <v>0</v>
      </c>
      <c r="E200" s="10" t="s">
        <v>587</v>
      </c>
      <c r="F200" s="14" t="n">
        <f aca="false">IF(m_sex="female",AE200,AD200)</f>
        <v>1</v>
      </c>
      <c r="G200" s="14" t="n">
        <f aca="false">F200*IF(E200="",1,INDEX($G$196:$G$212,MATCH(E200,$A$196:$A$212,0)))</f>
        <v>1</v>
      </c>
      <c r="H200" s="7" t="s">
        <v>599</v>
      </c>
      <c r="I200" s="10" t="n">
        <v>1</v>
      </c>
      <c r="J200" s="10" t="n">
        <v>1</v>
      </c>
      <c r="K200" s="10"/>
      <c r="L200" s="10"/>
      <c r="M200" s="10"/>
      <c r="N200" s="10"/>
      <c r="O200" s="10"/>
      <c r="P200" s="10"/>
      <c r="Q200" s="10"/>
      <c r="R200" s="10" t="n">
        <v>1</v>
      </c>
      <c r="S200" s="10" t="n">
        <v>1</v>
      </c>
      <c r="T200" s="10" t="n">
        <v>1</v>
      </c>
      <c r="U200" s="10"/>
      <c r="V200" s="10" t="n">
        <v>1</v>
      </c>
      <c r="W200" s="10" t="n">
        <v>1</v>
      </c>
      <c r="X200" s="10" t="n">
        <v>1</v>
      </c>
      <c r="Y200" s="10" t="n">
        <v>1</v>
      </c>
      <c r="Z200" s="10" t="n">
        <v>1</v>
      </c>
      <c r="AA200" s="10" t="n">
        <v>1</v>
      </c>
      <c r="AB200" s="10"/>
      <c r="AC200" s="10" t="n">
        <v>0</v>
      </c>
      <c r="AD200" s="23" t="n">
        <v>1</v>
      </c>
      <c r="AE200" s="23" t="n">
        <v>1</v>
      </c>
    </row>
    <row r="201" customFormat="false" ht="15" hidden="false" customHeight="false" outlineLevel="0" collapsed="false">
      <c r="A201" s="6" t="s">
        <v>600</v>
      </c>
      <c r="B201" s="6" t="s">
        <v>601</v>
      </c>
      <c r="C201" s="6" t="s">
        <v>312</v>
      </c>
      <c r="D201" s="10" t="n">
        <v>0</v>
      </c>
      <c r="E201" s="10" t="s">
        <v>311</v>
      </c>
      <c r="F201" s="14" t="n">
        <f aca="false">IF(m_sex="female",AE201,AD201)</f>
        <v>0.68</v>
      </c>
      <c r="G201" s="14" t="n">
        <f aca="false">F201*IF(E201="",1,INDEX($G$196:$G$212,MATCH(E201,$A$196:$A$212,0)))</f>
        <v>0.5712</v>
      </c>
      <c r="H201" s="7" t="s">
        <v>602</v>
      </c>
      <c r="I201" s="10" t="n">
        <v>1</v>
      </c>
      <c r="J201" s="10" t="n">
        <v>1</v>
      </c>
      <c r="K201" s="10"/>
      <c r="L201" s="10"/>
      <c r="M201" s="10"/>
      <c r="N201" s="10"/>
      <c r="O201" s="10"/>
      <c r="P201" s="10"/>
      <c r="Q201" s="10"/>
      <c r="R201" s="10" t="n">
        <v>1</v>
      </c>
      <c r="S201" s="10" t="n">
        <v>1</v>
      </c>
      <c r="T201" s="10" t="n">
        <v>1</v>
      </c>
      <c r="U201" s="10"/>
      <c r="V201" s="10" t="n">
        <v>1</v>
      </c>
      <c r="W201" s="10" t="n">
        <v>1</v>
      </c>
      <c r="X201" s="10" t="n">
        <v>1</v>
      </c>
      <c r="Y201" s="10" t="n">
        <v>1</v>
      </c>
      <c r="Z201" s="10"/>
      <c r="AA201" s="10"/>
      <c r="AB201" s="10" t="n">
        <v>1</v>
      </c>
      <c r="AC201" s="10" t="n">
        <v>0</v>
      </c>
      <c r="AD201" s="23" t="n">
        <v>0.68</v>
      </c>
      <c r="AE201" s="23" t="n">
        <v>0.68</v>
      </c>
    </row>
    <row r="202" customFormat="false" ht="15" hidden="false" customHeight="false" outlineLevel="0" collapsed="false">
      <c r="A202" s="6" t="s">
        <v>603</v>
      </c>
      <c r="B202" s="6" t="s">
        <v>604</v>
      </c>
      <c r="C202" s="6" t="s">
        <v>313</v>
      </c>
      <c r="D202" s="10" t="n">
        <v>0</v>
      </c>
      <c r="E202" s="10" t="s">
        <v>587</v>
      </c>
      <c r="F202" s="14" t="n">
        <f aca="false">IF(m_sex="female",AE202,AD202)</f>
        <v>0.57</v>
      </c>
      <c r="G202" s="14" t="n">
        <f aca="false">F202*IF(E202="",1,INDEX($G$196:$G$212,MATCH(E202,$A$196:$A$212,0)))</f>
        <v>0.57</v>
      </c>
      <c r="H202" s="7" t="s">
        <v>605</v>
      </c>
      <c r="I202" s="10"/>
      <c r="J202" s="10"/>
      <c r="K202" s="10"/>
      <c r="L202" s="10" t="n">
        <v>1</v>
      </c>
      <c r="M202" s="10"/>
      <c r="N202" s="10"/>
      <c r="O202" s="10" t="n">
        <v>1</v>
      </c>
      <c r="P202" s="10"/>
      <c r="Q202" s="10" t="n">
        <v>1</v>
      </c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 t="n">
        <v>0</v>
      </c>
      <c r="AD202" s="23" t="n">
        <v>0.65</v>
      </c>
      <c r="AE202" s="23" t="n">
        <v>0.57</v>
      </c>
    </row>
    <row r="203" customFormat="false" ht="15" hidden="false" customHeight="false" outlineLevel="0" collapsed="false">
      <c r="A203" s="6" t="s">
        <v>606</v>
      </c>
      <c r="B203" s="6" t="s">
        <v>607</v>
      </c>
      <c r="C203" s="6" t="s">
        <v>313</v>
      </c>
      <c r="D203" s="10" t="n">
        <v>0</v>
      </c>
      <c r="E203" s="10" t="s">
        <v>603</v>
      </c>
      <c r="F203" s="14" t="n">
        <f aca="false">IF(m_sex="female",AE203,AD203)</f>
        <v>0.8</v>
      </c>
      <c r="G203" s="14" t="n">
        <f aca="false">F203*IF(E203="",1,INDEX($G$196:$G$212,MATCH(E203,$A$196:$A$212,0)))</f>
        <v>0.456</v>
      </c>
      <c r="H203" s="7" t="s">
        <v>608</v>
      </c>
      <c r="I203" s="10"/>
      <c r="J203" s="10"/>
      <c r="K203" s="10"/>
      <c r="L203" s="10" t="n">
        <v>1</v>
      </c>
      <c r="M203" s="10"/>
      <c r="N203" s="10"/>
      <c r="O203" s="10" t="n">
        <v>1</v>
      </c>
      <c r="P203" s="10"/>
      <c r="Q203" s="10" t="n">
        <v>1</v>
      </c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 t="n">
        <v>0</v>
      </c>
      <c r="AD203" s="23" t="n">
        <v>0.8</v>
      </c>
      <c r="AE203" s="23" t="n">
        <v>0.8</v>
      </c>
    </row>
    <row r="204" customFormat="false" ht="15" hidden="false" customHeight="false" outlineLevel="0" collapsed="false">
      <c r="A204" s="6" t="s">
        <v>609</v>
      </c>
      <c r="B204" s="6" t="s">
        <v>610</v>
      </c>
      <c r="C204" s="6" t="s">
        <v>313</v>
      </c>
      <c r="D204" s="10" t="n">
        <v>1</v>
      </c>
      <c r="E204" s="10" t="s">
        <v>603</v>
      </c>
      <c r="F204" s="14" t="n">
        <f aca="false">IF(m_sex="female",AE204,AD204)</f>
        <v>1.05</v>
      </c>
      <c r="G204" s="14" t="n">
        <f aca="false">F204*IF(E204="",1,INDEX($G$196:$G$212,MATCH(E204,$A$196:$A$212,0)))</f>
        <v>0.5985</v>
      </c>
      <c r="H204" s="7" t="s">
        <v>611</v>
      </c>
      <c r="I204" s="10"/>
      <c r="J204" s="10"/>
      <c r="K204" s="10" t="n">
        <v>1</v>
      </c>
      <c r="L204" s="10" t="n">
        <v>1</v>
      </c>
      <c r="M204" s="10"/>
      <c r="N204" s="10"/>
      <c r="O204" s="10" t="n">
        <v>1</v>
      </c>
      <c r="P204" s="10"/>
      <c r="Q204" s="10" t="n">
        <v>1</v>
      </c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 t="n">
        <v>0</v>
      </c>
      <c r="AD204" s="23" t="n">
        <v>1.05</v>
      </c>
      <c r="AE204" s="23" t="n">
        <v>1.05</v>
      </c>
    </row>
    <row r="205" customFormat="false" ht="15" hidden="false" customHeight="false" outlineLevel="0" collapsed="false">
      <c r="A205" s="6" t="s">
        <v>612</v>
      </c>
      <c r="B205" s="6" t="s">
        <v>613</v>
      </c>
      <c r="C205" s="6" t="s">
        <v>314</v>
      </c>
      <c r="D205" s="10" t="n">
        <v>0</v>
      </c>
      <c r="E205" s="10" t="s">
        <v>587</v>
      </c>
      <c r="F205" s="14" t="n">
        <f aca="false">IF(m_sex="female",AE205,AD205)</f>
        <v>0.333</v>
      </c>
      <c r="G205" s="14" t="n">
        <f aca="false">F205*IF(E205="",1,INDEX($G$196:$G$212,MATCH(E205,$A$196:$A$212,0)))</f>
        <v>0.333</v>
      </c>
      <c r="H205" s="7" t="s">
        <v>614</v>
      </c>
      <c r="I205" s="10"/>
      <c r="J205" s="10"/>
      <c r="K205" s="10"/>
      <c r="L205" s="10" t="n">
        <v>1</v>
      </c>
      <c r="M205" s="10" t="n">
        <v>1</v>
      </c>
      <c r="N205" s="10"/>
      <c r="O205" s="10"/>
      <c r="P205" s="10"/>
      <c r="Q205" s="10" t="n">
        <v>1</v>
      </c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 t="n">
        <v>0</v>
      </c>
      <c r="AD205" s="23" t="n">
        <v>0.42</v>
      </c>
      <c r="AE205" s="23" t="n">
        <v>0.333</v>
      </c>
    </row>
    <row r="206" customFormat="false" ht="15" hidden="false" customHeight="false" outlineLevel="0" collapsed="false">
      <c r="A206" s="6" t="s">
        <v>615</v>
      </c>
      <c r="B206" s="6" t="s">
        <v>616</v>
      </c>
      <c r="C206" s="6" t="s">
        <v>314</v>
      </c>
      <c r="D206" s="10" t="n">
        <v>0</v>
      </c>
      <c r="E206" s="10" t="s">
        <v>587</v>
      </c>
      <c r="F206" s="14" t="n">
        <f aca="false">IF(m_sex="female",AE206,AD206)</f>
        <v>0.448</v>
      </c>
      <c r="G206" s="14" t="n">
        <f aca="false">F206*IF(E206="",1,INDEX($G$196:$G$212,MATCH(E206,$A$196:$A$212,0)))</f>
        <v>0.448</v>
      </c>
      <c r="H206" s="7" t="s">
        <v>617</v>
      </c>
      <c r="I206" s="10"/>
      <c r="J206" s="10"/>
      <c r="K206" s="10"/>
      <c r="L206" s="10" t="n">
        <v>1</v>
      </c>
      <c r="M206" s="10" t="n">
        <v>1</v>
      </c>
      <c r="N206" s="10"/>
      <c r="O206" s="10"/>
      <c r="P206" s="10"/>
      <c r="Q206" s="10" t="n">
        <v>1</v>
      </c>
      <c r="R206" s="10"/>
      <c r="S206" s="10"/>
      <c r="T206" s="10"/>
      <c r="U206" s="10"/>
      <c r="V206" s="10"/>
      <c r="W206" s="10"/>
      <c r="X206" s="10"/>
      <c r="Y206" s="10"/>
      <c r="Z206" s="10"/>
      <c r="AA206" s="10" t="n">
        <v>1</v>
      </c>
      <c r="AB206" s="10" t="n">
        <v>1</v>
      </c>
      <c r="AC206" s="10" t="n">
        <v>0</v>
      </c>
      <c r="AD206" s="23" t="n">
        <v>0.565</v>
      </c>
      <c r="AE206" s="23" t="n">
        <v>0.448</v>
      </c>
    </row>
    <row r="207" customFormat="false" ht="15" hidden="false" customHeight="false" outlineLevel="0" collapsed="false">
      <c r="A207" s="6" t="s">
        <v>618</v>
      </c>
      <c r="B207" s="6" t="s">
        <v>619</v>
      </c>
      <c r="C207" s="6" t="s">
        <v>314</v>
      </c>
      <c r="D207" s="10" t="n">
        <v>0</v>
      </c>
      <c r="E207" s="10" t="s">
        <v>612</v>
      </c>
      <c r="F207" s="14" t="n">
        <f aca="false">IF(m_sex="female",AE207,AD207)</f>
        <v>0.85</v>
      </c>
      <c r="G207" s="14" t="n">
        <f aca="false">F207*IF(E207="",1,INDEX($G$196:$G$212,MATCH(E207,$A$196:$A$212,0)))</f>
        <v>0.28305</v>
      </c>
      <c r="H207" s="7" t="s">
        <v>620</v>
      </c>
      <c r="I207" s="10" t="n">
        <v>1</v>
      </c>
      <c r="J207" s="10" t="n">
        <v>1</v>
      </c>
      <c r="K207" s="10" t="n">
        <v>1</v>
      </c>
      <c r="L207" s="10" t="n">
        <v>1</v>
      </c>
      <c r="M207" s="10" t="n">
        <v>1</v>
      </c>
      <c r="N207" s="10"/>
      <c r="O207" s="10"/>
      <c r="P207" s="10"/>
      <c r="Q207" s="10" t="n">
        <v>1</v>
      </c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 t="n">
        <v>0</v>
      </c>
      <c r="AD207" s="23" t="n">
        <v>0.85</v>
      </c>
      <c r="AE207" s="23" t="n">
        <v>0.85</v>
      </c>
    </row>
    <row r="208" customFormat="false" ht="15" hidden="false" customHeight="false" outlineLevel="0" collapsed="false">
      <c r="A208" s="6" t="s">
        <v>621</v>
      </c>
      <c r="B208" s="6" t="s">
        <v>622</v>
      </c>
      <c r="C208" s="6" t="s">
        <v>315</v>
      </c>
      <c r="D208" s="10" t="n">
        <v>1</v>
      </c>
      <c r="E208" s="10" t="s">
        <v>311</v>
      </c>
      <c r="F208" s="14" t="n">
        <f aca="false">IF(m_sex="female",AE208,AD208)</f>
        <v>0.592</v>
      </c>
      <c r="G208" s="14" t="n">
        <f aca="false">F208*IF(E208="",1,INDEX($G$196:$G$212,MATCH(E208,$A$196:$A$212,0)))</f>
        <v>0.49728</v>
      </c>
      <c r="H208" s="7" t="s">
        <v>623</v>
      </c>
      <c r="I208" s="10"/>
      <c r="J208" s="10"/>
      <c r="K208" s="10"/>
      <c r="L208" s="10"/>
      <c r="M208" s="10"/>
      <c r="N208" s="10" t="n">
        <v>1</v>
      </c>
      <c r="O208" s="10"/>
      <c r="P208" s="10" t="n">
        <v>1</v>
      </c>
      <c r="Q208" s="10"/>
      <c r="R208" s="10"/>
      <c r="S208" s="10" t="n">
        <v>1</v>
      </c>
      <c r="T208" s="10" t="n">
        <v>1</v>
      </c>
      <c r="U208" s="10" t="n">
        <v>1</v>
      </c>
      <c r="V208" s="10"/>
      <c r="W208" s="10"/>
      <c r="X208" s="10"/>
      <c r="Y208" s="10"/>
      <c r="Z208" s="10"/>
      <c r="AA208" s="10"/>
      <c r="AB208" s="10"/>
      <c r="AC208" s="10" t="n">
        <v>0</v>
      </c>
      <c r="AD208" s="23" t="n">
        <v>0.675</v>
      </c>
      <c r="AE208" s="23" t="n">
        <v>0.592</v>
      </c>
    </row>
    <row r="209" customFormat="false" ht="15" hidden="false" customHeight="false" outlineLevel="0" collapsed="false">
      <c r="A209" s="6" t="s">
        <v>624</v>
      </c>
      <c r="B209" s="6" t="s">
        <v>625</v>
      </c>
      <c r="C209" s="6" t="s">
        <v>315</v>
      </c>
      <c r="D209" s="10" t="n">
        <v>1</v>
      </c>
      <c r="E209" s="10" t="s">
        <v>621</v>
      </c>
      <c r="F209" s="14" t="n">
        <f aca="false">IF(m_sex="female",AE209,AD209)</f>
        <v>0.95</v>
      </c>
      <c r="G209" s="14" t="n">
        <f aca="false">F209*IF(E209="",1,INDEX($G$196:$G$212,MATCH(E209,$A$196:$A$212,0)))</f>
        <v>0.472416</v>
      </c>
      <c r="H209" s="7" t="s">
        <v>620</v>
      </c>
      <c r="I209" s="10"/>
      <c r="J209" s="10" t="n">
        <v>1</v>
      </c>
      <c r="K209" s="10" t="n">
        <v>1</v>
      </c>
      <c r="L209" s="10"/>
      <c r="M209" s="10"/>
      <c r="N209" s="10" t="n">
        <v>1</v>
      </c>
      <c r="O209" s="10"/>
      <c r="P209" s="10" t="n">
        <v>1</v>
      </c>
      <c r="Q209" s="10"/>
      <c r="R209" s="10" t="n">
        <v>1</v>
      </c>
      <c r="S209" s="10" t="n">
        <v>1</v>
      </c>
      <c r="T209" s="10" t="n">
        <v>1</v>
      </c>
      <c r="U209" s="10" t="n">
        <v>1</v>
      </c>
      <c r="V209" s="10"/>
      <c r="W209" s="10"/>
      <c r="X209" s="10"/>
      <c r="Y209" s="10"/>
      <c r="Z209" s="10"/>
      <c r="AA209" s="10"/>
      <c r="AB209" s="10"/>
      <c r="AC209" s="10" t="n">
        <v>0</v>
      </c>
      <c r="AD209" s="23" t="n">
        <v>0.95</v>
      </c>
      <c r="AE209" s="23" t="n">
        <v>0.95</v>
      </c>
    </row>
    <row r="210" customFormat="false" ht="15" hidden="false" customHeight="false" outlineLevel="0" collapsed="false">
      <c r="A210" s="6" t="s">
        <v>626</v>
      </c>
      <c r="B210" s="6" t="s">
        <v>627</v>
      </c>
      <c r="C210" s="6" t="s">
        <v>315</v>
      </c>
      <c r="D210" s="10" t="n">
        <v>0</v>
      </c>
      <c r="E210" s="10" t="s">
        <v>587</v>
      </c>
      <c r="F210" s="14" t="n">
        <f aca="false">IF(m_sex="female",AE210,AD210)</f>
        <v>0.467</v>
      </c>
      <c r="G210" s="14" t="n">
        <f aca="false">F210*IF(E210="",1,INDEX($G$196:$G$212,MATCH(E210,$A$196:$A$212,0)))</f>
        <v>0.467</v>
      </c>
      <c r="H210" s="7" t="s">
        <v>628</v>
      </c>
      <c r="I210" s="10"/>
      <c r="J210" s="10" t="n">
        <v>1</v>
      </c>
      <c r="K210" s="10" t="n">
        <v>1</v>
      </c>
      <c r="L210" s="10"/>
      <c r="M210" s="10"/>
      <c r="N210" s="10" t="n">
        <v>1</v>
      </c>
      <c r="O210" s="10"/>
      <c r="P210" s="10" t="n">
        <v>1</v>
      </c>
      <c r="Q210" s="10"/>
      <c r="R210" s="10"/>
      <c r="S210" s="10" t="n">
        <v>1</v>
      </c>
      <c r="T210" s="10"/>
      <c r="U210" s="10" t="n">
        <v>1</v>
      </c>
      <c r="V210" s="10"/>
      <c r="W210" s="10"/>
      <c r="X210" s="10"/>
      <c r="Y210" s="10"/>
      <c r="Z210" s="10"/>
      <c r="AA210" s="10"/>
      <c r="AB210" s="10"/>
      <c r="AC210" s="10" t="n">
        <v>0</v>
      </c>
      <c r="AD210" s="23" t="n">
        <v>0.53</v>
      </c>
      <c r="AE210" s="23" t="n">
        <v>0.467</v>
      </c>
    </row>
    <row r="211" customFormat="false" ht="15" hidden="false" customHeight="false" outlineLevel="0" collapsed="false">
      <c r="A211" s="6" t="s">
        <v>629</v>
      </c>
      <c r="B211" s="6" t="s">
        <v>630</v>
      </c>
      <c r="C211" s="6" t="s">
        <v>315</v>
      </c>
      <c r="D211" s="10" t="n">
        <v>0</v>
      </c>
      <c r="E211" s="10" t="s">
        <v>621</v>
      </c>
      <c r="F211" s="14" t="n">
        <f aca="false">IF(m_sex="female",AE211,AD211)</f>
        <v>1</v>
      </c>
      <c r="G211" s="14" t="n">
        <f aca="false">F211*IF(E211="",1,INDEX($G$196:$G$212,MATCH(E211,$A$196:$A$212,0)))</f>
        <v>0.49728</v>
      </c>
      <c r="H211" s="7" t="s">
        <v>631</v>
      </c>
      <c r="I211" s="10"/>
      <c r="J211" s="10"/>
      <c r="K211" s="10"/>
      <c r="L211" s="10"/>
      <c r="M211" s="10"/>
      <c r="N211" s="10" t="n">
        <v>1</v>
      </c>
      <c r="O211" s="10"/>
      <c r="P211" s="10" t="n">
        <v>1</v>
      </c>
      <c r="Q211" s="10"/>
      <c r="R211" s="10"/>
      <c r="S211" s="10" t="n">
        <v>1</v>
      </c>
      <c r="T211" s="10" t="n">
        <v>1</v>
      </c>
      <c r="U211" s="10" t="n">
        <v>1</v>
      </c>
      <c r="V211" s="10"/>
      <c r="W211" s="10"/>
      <c r="X211" s="10"/>
      <c r="Y211" s="10"/>
      <c r="Z211" s="10"/>
      <c r="AA211" s="10"/>
      <c r="AB211" s="10"/>
      <c r="AC211" s="10" t="n">
        <v>0</v>
      </c>
      <c r="AD211" s="23" t="n">
        <v>1</v>
      </c>
      <c r="AE211" s="23" t="n">
        <v>1</v>
      </c>
    </row>
    <row r="212" customFormat="false" ht="15" hidden="false" customHeight="false" outlineLevel="0" collapsed="false">
      <c r="A212" s="6" t="s">
        <v>632</v>
      </c>
      <c r="B212" s="6" t="s">
        <v>633</v>
      </c>
      <c r="C212" s="6" t="s">
        <v>315</v>
      </c>
      <c r="D212" s="10" t="n">
        <v>0</v>
      </c>
      <c r="E212" s="10" t="s">
        <v>626</v>
      </c>
      <c r="F212" s="14" t="n">
        <f aca="false">IF(m_sex="female",AE212,AD212)</f>
        <v>1</v>
      </c>
      <c r="G212" s="14" t="n">
        <f aca="false">F212*IF(E212="",1,INDEX($G$196:$G$212,MATCH(E212,$A$196:$A$212,0)))</f>
        <v>0.467</v>
      </c>
      <c r="H212" s="7" t="s">
        <v>634</v>
      </c>
      <c r="I212" s="10"/>
      <c r="J212" s="10" t="n">
        <v>1</v>
      </c>
      <c r="K212" s="10" t="n">
        <v>1</v>
      </c>
      <c r="L212" s="10"/>
      <c r="M212" s="10"/>
      <c r="N212" s="10" t="n">
        <v>1</v>
      </c>
      <c r="O212" s="10"/>
      <c r="P212" s="10" t="n">
        <v>1</v>
      </c>
      <c r="Q212" s="10"/>
      <c r="R212" s="10"/>
      <c r="S212" s="10" t="n">
        <v>1</v>
      </c>
      <c r="T212" s="10"/>
      <c r="U212" s="10" t="n">
        <v>1</v>
      </c>
      <c r="V212" s="10"/>
      <c r="W212" s="10"/>
      <c r="X212" s="10"/>
      <c r="Y212" s="10"/>
      <c r="Z212" s="10"/>
      <c r="AA212" s="10"/>
      <c r="AB212" s="10"/>
      <c r="AC212" s="10" t="n">
        <v>0</v>
      </c>
      <c r="AD212" s="23" t="n">
        <v>1</v>
      </c>
      <c r="AE212" s="23" t="n">
        <v>1</v>
      </c>
    </row>
    <row r="214" customFormat="false" ht="15" hidden="false" customHeight="false" outlineLevel="0" collapsed="false">
      <c r="A214" s="7" t="s">
        <v>635</v>
      </c>
    </row>
    <row r="215" customFormat="false" ht="15" hidden="false" customHeight="false" outlineLevel="0" collapsed="false">
      <c r="A215" s="7" t="s">
        <v>636</v>
      </c>
    </row>
    <row r="216" customFormat="false" ht="16.15" hidden="false" customHeight="false" outlineLevel="0" collapsed="false">
      <c r="A216" s="11" t="s">
        <v>637</v>
      </c>
    </row>
    <row r="217" customFormat="false" ht="15" hidden="false" customHeight="false" outlineLevel="0" collapsed="false">
      <c r="A217" s="4" t="s">
        <v>28</v>
      </c>
      <c r="B217" s="4" t="s">
        <v>638</v>
      </c>
      <c r="C217" s="4" t="s">
        <v>639</v>
      </c>
      <c r="D217" s="4" t="s">
        <v>640</v>
      </c>
      <c r="E217" s="4" t="s">
        <v>641</v>
      </c>
      <c r="F217" s="4" t="s">
        <v>642</v>
      </c>
      <c r="G217" s="4" t="s">
        <v>643</v>
      </c>
      <c r="H217" s="4" t="s">
        <v>644</v>
      </c>
      <c r="I217" s="4" t="s">
        <v>645</v>
      </c>
      <c r="J217" s="4" t="s">
        <v>646</v>
      </c>
      <c r="K217" s="4" t="s">
        <v>647</v>
      </c>
      <c r="L217" s="4" t="s">
        <v>648</v>
      </c>
    </row>
    <row r="218" customFormat="false" ht="15" hidden="false" customHeight="false" outlineLevel="0" collapsed="false">
      <c r="A218" s="6" t="s">
        <v>649</v>
      </c>
      <c r="B218" s="6" t="s">
        <v>650</v>
      </c>
      <c r="C218" s="6" t="n">
        <v>20</v>
      </c>
      <c r="D218" s="8" t="n">
        <v>28.6</v>
      </c>
      <c r="E218" s="8" t="n">
        <v>35.2</v>
      </c>
      <c r="F218" s="8" t="n">
        <v>40</v>
      </c>
      <c r="G218" s="8" t="n">
        <v>43.6</v>
      </c>
      <c r="H218" s="8" t="n">
        <v>46.5</v>
      </c>
      <c r="I218" s="8" t="n">
        <v>49</v>
      </c>
      <c r="J218" s="8" t="n">
        <v>51.9</v>
      </c>
      <c r="K218" s="8" t="n">
        <v>54.5</v>
      </c>
      <c r="L218" s="8" t="n">
        <v>58.6</v>
      </c>
    </row>
    <row r="219" customFormat="false" ht="15" hidden="false" customHeight="false" outlineLevel="0" collapsed="false">
      <c r="A219" s="6" t="s">
        <v>651</v>
      </c>
      <c r="B219" s="6" t="s">
        <v>650</v>
      </c>
      <c r="C219" s="6" t="n">
        <v>30</v>
      </c>
      <c r="D219" s="8" t="n">
        <v>24.9</v>
      </c>
      <c r="E219" s="8" t="n">
        <v>29.8</v>
      </c>
      <c r="F219" s="8" t="n">
        <v>33.5</v>
      </c>
      <c r="G219" s="8" t="n">
        <v>37</v>
      </c>
      <c r="H219" s="8" t="n">
        <v>39.7</v>
      </c>
      <c r="I219" s="8" t="n">
        <v>43.4</v>
      </c>
      <c r="J219" s="8" t="n">
        <v>46.4</v>
      </c>
      <c r="K219" s="8" t="n">
        <v>50</v>
      </c>
      <c r="L219" s="8" t="n">
        <v>55.5</v>
      </c>
    </row>
    <row r="220" customFormat="false" ht="15" hidden="false" customHeight="false" outlineLevel="0" collapsed="false">
      <c r="A220" s="6" t="s">
        <v>652</v>
      </c>
      <c r="B220" s="6" t="s">
        <v>650</v>
      </c>
      <c r="C220" s="6" t="n">
        <v>40</v>
      </c>
      <c r="D220" s="8" t="n">
        <v>22.1</v>
      </c>
      <c r="E220" s="8" t="n">
        <v>26.7</v>
      </c>
      <c r="F220" s="8" t="n">
        <v>29.7</v>
      </c>
      <c r="G220" s="8" t="n">
        <v>32.4</v>
      </c>
      <c r="H220" s="8" t="n">
        <v>35.3</v>
      </c>
      <c r="I220" s="8" t="n">
        <v>37.9</v>
      </c>
      <c r="J220" s="8" t="n">
        <v>40.9</v>
      </c>
      <c r="K220" s="8" t="n">
        <v>45.2</v>
      </c>
      <c r="L220" s="8" t="n">
        <v>50.8</v>
      </c>
    </row>
    <row r="221" customFormat="false" ht="15" hidden="false" customHeight="false" outlineLevel="0" collapsed="false">
      <c r="A221" s="6" t="s">
        <v>653</v>
      </c>
      <c r="B221" s="6" t="s">
        <v>650</v>
      </c>
      <c r="C221" s="6" t="n">
        <v>50</v>
      </c>
      <c r="D221" s="8" t="n">
        <v>18.6</v>
      </c>
      <c r="E221" s="8" t="n">
        <v>22.2</v>
      </c>
      <c r="F221" s="8" t="n">
        <v>24.5</v>
      </c>
      <c r="G221" s="8" t="n">
        <v>26.9</v>
      </c>
      <c r="H221" s="8" t="n">
        <v>29.2</v>
      </c>
      <c r="I221" s="8" t="n">
        <v>31.8</v>
      </c>
      <c r="J221" s="8" t="n">
        <v>34.3</v>
      </c>
      <c r="K221" s="8" t="n">
        <v>38.3</v>
      </c>
      <c r="L221" s="8" t="n">
        <v>43.4</v>
      </c>
    </row>
    <row r="222" customFormat="false" ht="15" hidden="false" customHeight="false" outlineLevel="0" collapsed="false">
      <c r="A222" s="6" t="s">
        <v>654</v>
      </c>
      <c r="B222" s="6" t="s">
        <v>650</v>
      </c>
      <c r="C222" s="6" t="n">
        <v>60</v>
      </c>
      <c r="D222" s="8" t="n">
        <v>15.8</v>
      </c>
      <c r="E222" s="8" t="n">
        <v>18.5</v>
      </c>
      <c r="F222" s="8" t="n">
        <v>20.7</v>
      </c>
      <c r="G222" s="8" t="n">
        <v>22.8</v>
      </c>
      <c r="H222" s="8" t="n">
        <v>24.6</v>
      </c>
      <c r="I222" s="8" t="n">
        <v>26.5</v>
      </c>
      <c r="J222" s="8" t="n">
        <v>28.7</v>
      </c>
      <c r="K222" s="8" t="n">
        <v>32</v>
      </c>
      <c r="L222" s="8" t="n">
        <v>37.1</v>
      </c>
    </row>
    <row r="223" customFormat="false" ht="15" hidden="false" customHeight="false" outlineLevel="0" collapsed="false">
      <c r="A223" s="6" t="s">
        <v>655</v>
      </c>
      <c r="B223" s="6" t="s">
        <v>650</v>
      </c>
      <c r="C223" s="6" t="n">
        <v>70</v>
      </c>
      <c r="D223" s="8" t="n">
        <v>13.6</v>
      </c>
      <c r="E223" s="8" t="n">
        <v>15.9</v>
      </c>
      <c r="F223" s="8" t="n">
        <v>17.3</v>
      </c>
      <c r="G223" s="8" t="n">
        <v>19.1</v>
      </c>
      <c r="H223" s="8" t="n">
        <v>20.6</v>
      </c>
      <c r="I223" s="8" t="n">
        <v>22.2</v>
      </c>
      <c r="J223" s="8" t="n">
        <v>23.8</v>
      </c>
      <c r="K223" s="8" t="n">
        <v>25.9</v>
      </c>
      <c r="L223" s="8" t="n">
        <v>29.4</v>
      </c>
    </row>
    <row r="224" customFormat="false" ht="15" hidden="false" customHeight="false" outlineLevel="0" collapsed="false">
      <c r="A224" s="6" t="s">
        <v>656</v>
      </c>
      <c r="B224" s="6" t="s">
        <v>650</v>
      </c>
      <c r="C224" s="6" t="n">
        <v>80</v>
      </c>
      <c r="D224" s="8" t="n">
        <v>12.9</v>
      </c>
      <c r="E224" s="8" t="n">
        <v>14.8</v>
      </c>
      <c r="F224" s="8" t="n">
        <v>16.1</v>
      </c>
      <c r="G224" s="8" t="n">
        <v>16.6</v>
      </c>
      <c r="H224" s="8" t="n">
        <v>17.6</v>
      </c>
      <c r="I224" s="8" t="n">
        <v>18.4</v>
      </c>
      <c r="J224" s="8" t="n">
        <v>20</v>
      </c>
      <c r="K224" s="8" t="n">
        <v>21.4</v>
      </c>
      <c r="L224" s="8" t="n">
        <v>22.8</v>
      </c>
    </row>
    <row r="225" customFormat="false" ht="15" hidden="false" customHeight="false" outlineLevel="0" collapsed="false">
      <c r="A225" s="6" t="s">
        <v>657</v>
      </c>
      <c r="B225" s="6" t="s">
        <v>658</v>
      </c>
      <c r="C225" s="6" t="n">
        <v>20</v>
      </c>
      <c r="D225" s="8" t="n">
        <v>28.8</v>
      </c>
      <c r="E225" s="8" t="n">
        <v>34.5</v>
      </c>
      <c r="F225" s="8" t="n">
        <v>37.4</v>
      </c>
      <c r="G225" s="8" t="n">
        <v>40.8</v>
      </c>
      <c r="H225" s="8" t="n">
        <v>44</v>
      </c>
      <c r="I225" s="8" t="n">
        <v>48.3</v>
      </c>
      <c r="J225" s="8" t="n">
        <v>52.8</v>
      </c>
      <c r="K225" s="8" t="n">
        <v>57</v>
      </c>
      <c r="L225" s="8" t="n">
        <v>62.2</v>
      </c>
    </row>
    <row r="226" customFormat="false" ht="15" hidden="false" customHeight="false" outlineLevel="0" collapsed="false">
      <c r="A226" s="6" t="s">
        <v>659</v>
      </c>
      <c r="B226" s="6" t="s">
        <v>658</v>
      </c>
      <c r="C226" s="6" t="n">
        <v>30</v>
      </c>
      <c r="D226" s="8" t="n">
        <v>19.1</v>
      </c>
      <c r="E226" s="8" t="n">
        <v>22.6</v>
      </c>
      <c r="F226" s="8" t="n">
        <v>25.7</v>
      </c>
      <c r="G226" s="8" t="n">
        <v>27.9</v>
      </c>
      <c r="H226" s="8" t="n">
        <v>30.2</v>
      </c>
      <c r="I226" s="8" t="n">
        <v>31.6</v>
      </c>
      <c r="J226" s="8" t="n">
        <v>35.5</v>
      </c>
      <c r="K226" s="8" t="n">
        <v>39</v>
      </c>
      <c r="L226" s="8" t="n">
        <v>50.5</v>
      </c>
    </row>
    <row r="227" customFormat="false" ht="15" hidden="false" customHeight="false" outlineLevel="0" collapsed="false">
      <c r="A227" s="6" t="s">
        <v>660</v>
      </c>
      <c r="B227" s="6" t="s">
        <v>658</v>
      </c>
      <c r="C227" s="6" t="n">
        <v>40</v>
      </c>
      <c r="D227" s="8" t="n">
        <v>19.8</v>
      </c>
      <c r="E227" s="8" t="n">
        <v>21.9</v>
      </c>
      <c r="F227" s="8" t="n">
        <v>23.8</v>
      </c>
      <c r="G227" s="8" t="n">
        <v>25.4</v>
      </c>
      <c r="H227" s="8" t="n">
        <v>27.4</v>
      </c>
      <c r="I227" s="8" t="n">
        <v>29</v>
      </c>
      <c r="J227" s="8" t="n">
        <v>31.4</v>
      </c>
      <c r="K227" s="8" t="n">
        <v>35.1</v>
      </c>
      <c r="L227" s="8" t="n">
        <v>41.9</v>
      </c>
    </row>
    <row r="228" customFormat="false" ht="15" hidden="false" customHeight="false" outlineLevel="0" collapsed="false">
      <c r="A228" s="6" t="s">
        <v>661</v>
      </c>
      <c r="B228" s="6" t="s">
        <v>658</v>
      </c>
      <c r="C228" s="6" t="n">
        <v>50</v>
      </c>
      <c r="D228" s="8" t="n">
        <v>17.2</v>
      </c>
      <c r="E228" s="8" t="n">
        <v>20.2</v>
      </c>
      <c r="F228" s="8" t="n">
        <v>22</v>
      </c>
      <c r="G228" s="8" t="n">
        <v>23.1</v>
      </c>
      <c r="H228" s="8" t="n">
        <v>24.5</v>
      </c>
      <c r="I228" s="8" t="n">
        <v>26.3</v>
      </c>
      <c r="J228" s="8" t="n">
        <v>28.4</v>
      </c>
      <c r="K228" s="8" t="n">
        <v>31.6</v>
      </c>
      <c r="L228" s="8" t="n">
        <v>37.1</v>
      </c>
    </row>
    <row r="229" customFormat="false" ht="15" hidden="false" customHeight="false" outlineLevel="0" collapsed="false">
      <c r="A229" s="6" t="s">
        <v>662</v>
      </c>
      <c r="B229" s="6" t="s">
        <v>658</v>
      </c>
      <c r="C229" s="6" t="n">
        <v>60</v>
      </c>
      <c r="D229" s="8" t="n">
        <v>14.7</v>
      </c>
      <c r="E229" s="8" t="n">
        <v>17.5</v>
      </c>
      <c r="F229" s="8" t="n">
        <v>19.1</v>
      </c>
      <c r="G229" s="8" t="n">
        <v>20.7</v>
      </c>
      <c r="H229" s="8" t="n">
        <v>21.7</v>
      </c>
      <c r="I229" s="8" t="n">
        <v>23.3</v>
      </c>
      <c r="J229" s="8" t="n">
        <v>24.5</v>
      </c>
      <c r="K229" s="8" t="n">
        <v>27</v>
      </c>
      <c r="L229" s="8" t="n">
        <v>31.4</v>
      </c>
    </row>
    <row r="230" customFormat="false" ht="15" hidden="false" customHeight="false" outlineLevel="0" collapsed="false">
      <c r="A230" s="6" t="s">
        <v>663</v>
      </c>
      <c r="B230" s="6" t="s">
        <v>658</v>
      </c>
      <c r="C230" s="6" t="n">
        <v>70</v>
      </c>
      <c r="D230" s="8" t="n">
        <v>11</v>
      </c>
      <c r="E230" s="8" t="n">
        <v>14.7</v>
      </c>
      <c r="F230" s="8" t="n">
        <v>16</v>
      </c>
      <c r="G230" s="8" t="n">
        <v>17.1</v>
      </c>
      <c r="H230" s="8" t="n">
        <v>18.3</v>
      </c>
      <c r="I230" s="8" t="n">
        <v>19.4</v>
      </c>
      <c r="J230" s="8" t="n">
        <v>20.6</v>
      </c>
      <c r="K230" s="8" t="n">
        <v>22.6</v>
      </c>
      <c r="L230" s="8" t="n">
        <v>26.2</v>
      </c>
    </row>
    <row r="231" customFormat="false" ht="15" hidden="false" customHeight="false" outlineLevel="0" collapsed="false">
      <c r="A231" s="6" t="s">
        <v>664</v>
      </c>
      <c r="B231" s="6" t="s">
        <v>658</v>
      </c>
      <c r="C231" s="6" t="n">
        <v>80</v>
      </c>
      <c r="D231" s="8" t="n">
        <v>8.4</v>
      </c>
      <c r="E231" s="8" t="n">
        <v>9.7</v>
      </c>
      <c r="F231" s="8" t="n">
        <v>11.1</v>
      </c>
      <c r="G231" s="8" t="n">
        <v>12.2</v>
      </c>
      <c r="H231" s="8" t="n">
        <v>13.2</v>
      </c>
      <c r="I231" s="8" t="n">
        <v>14.6</v>
      </c>
      <c r="J231" s="8" t="n">
        <v>16.2</v>
      </c>
      <c r="K231" s="8" t="n">
        <v>17.3</v>
      </c>
      <c r="L231" s="8" t="n">
        <v>18.7</v>
      </c>
    </row>
    <row r="232" customFormat="false" ht="15" hidden="false" customHeight="false" outlineLevel="0" collapsed="false">
      <c r="A232" s="6" t="s">
        <v>665</v>
      </c>
      <c r="B232" s="6" t="s">
        <v>666</v>
      </c>
      <c r="C232" s="6" t="n">
        <v>20</v>
      </c>
      <c r="D232" s="8" t="n">
        <v>22.5</v>
      </c>
      <c r="E232" s="8" t="n">
        <v>27.2</v>
      </c>
      <c r="F232" s="8" t="n">
        <v>30.8</v>
      </c>
      <c r="G232" s="8" t="n">
        <v>34</v>
      </c>
      <c r="H232" s="8" t="n">
        <v>36.6</v>
      </c>
      <c r="I232" s="8" t="n">
        <v>39</v>
      </c>
      <c r="J232" s="8" t="n">
        <v>41.8</v>
      </c>
      <c r="K232" s="8" t="n">
        <v>44.8</v>
      </c>
      <c r="L232" s="8" t="n">
        <v>49</v>
      </c>
    </row>
    <row r="233" customFormat="false" ht="15" hidden="false" customHeight="false" outlineLevel="0" collapsed="false">
      <c r="A233" s="6" t="s">
        <v>667</v>
      </c>
      <c r="B233" s="6" t="s">
        <v>666</v>
      </c>
      <c r="C233" s="6" t="n">
        <v>30</v>
      </c>
      <c r="D233" s="8" t="n">
        <v>18.6</v>
      </c>
      <c r="E233" s="8" t="n">
        <v>21.9</v>
      </c>
      <c r="F233" s="8" t="n">
        <v>24.2</v>
      </c>
      <c r="G233" s="8" t="n">
        <v>26.4</v>
      </c>
      <c r="H233" s="8" t="n">
        <v>28.3</v>
      </c>
      <c r="I233" s="8" t="n">
        <v>31</v>
      </c>
      <c r="J233" s="8" t="n">
        <v>33.6</v>
      </c>
      <c r="K233" s="8" t="n">
        <v>37</v>
      </c>
      <c r="L233" s="8" t="n">
        <v>42.1</v>
      </c>
    </row>
    <row r="234" customFormat="false" ht="15" hidden="false" customHeight="false" outlineLevel="0" collapsed="false">
      <c r="A234" s="6" t="s">
        <v>668</v>
      </c>
      <c r="B234" s="6" t="s">
        <v>666</v>
      </c>
      <c r="C234" s="6" t="n">
        <v>40</v>
      </c>
      <c r="D234" s="8" t="n">
        <v>17.2</v>
      </c>
      <c r="E234" s="8" t="n">
        <v>19.7</v>
      </c>
      <c r="F234" s="8" t="n">
        <v>21.8</v>
      </c>
      <c r="G234" s="8" t="n">
        <v>23.9</v>
      </c>
      <c r="H234" s="8" t="n">
        <v>25.7</v>
      </c>
      <c r="I234" s="8" t="n">
        <v>27.7</v>
      </c>
      <c r="J234" s="8" t="n">
        <v>30</v>
      </c>
      <c r="K234" s="8" t="n">
        <v>33</v>
      </c>
      <c r="L234" s="8" t="n">
        <v>37.8</v>
      </c>
    </row>
    <row r="235" customFormat="false" ht="15" hidden="false" customHeight="false" outlineLevel="0" collapsed="false">
      <c r="A235" s="6" t="s">
        <v>669</v>
      </c>
      <c r="B235" s="6" t="s">
        <v>666</v>
      </c>
      <c r="C235" s="6" t="n">
        <v>50</v>
      </c>
      <c r="D235" s="8" t="n">
        <v>16.5</v>
      </c>
      <c r="E235" s="8" t="n">
        <v>18.5</v>
      </c>
      <c r="F235" s="8" t="n">
        <v>20.1</v>
      </c>
      <c r="G235" s="8" t="n">
        <v>21.5</v>
      </c>
      <c r="H235" s="8" t="n">
        <v>22.9</v>
      </c>
      <c r="I235" s="8" t="n">
        <v>24.6</v>
      </c>
      <c r="J235" s="8" t="n">
        <v>26.3</v>
      </c>
      <c r="K235" s="8" t="n">
        <v>28.4</v>
      </c>
      <c r="L235" s="8" t="n">
        <v>32.4</v>
      </c>
    </row>
    <row r="236" customFormat="false" ht="15" hidden="false" customHeight="false" outlineLevel="0" collapsed="false">
      <c r="A236" s="6" t="s">
        <v>670</v>
      </c>
      <c r="B236" s="6" t="s">
        <v>666</v>
      </c>
      <c r="C236" s="6" t="n">
        <v>60</v>
      </c>
      <c r="D236" s="8" t="n">
        <v>13.4</v>
      </c>
      <c r="E236" s="8" t="n">
        <v>15.4</v>
      </c>
      <c r="F236" s="8" t="n">
        <v>17</v>
      </c>
      <c r="G236" s="8" t="n">
        <v>18.3</v>
      </c>
      <c r="H236" s="8" t="n">
        <v>19.6</v>
      </c>
      <c r="I236" s="8" t="n">
        <v>20.9</v>
      </c>
      <c r="J236" s="8" t="n">
        <v>22.4</v>
      </c>
      <c r="K236" s="8" t="n">
        <v>24.3</v>
      </c>
      <c r="L236" s="8" t="n">
        <v>27.3</v>
      </c>
    </row>
    <row r="237" customFormat="false" ht="15" hidden="false" customHeight="false" outlineLevel="0" collapsed="false">
      <c r="A237" s="6" t="s">
        <v>671</v>
      </c>
      <c r="B237" s="6" t="s">
        <v>666</v>
      </c>
      <c r="C237" s="6" t="n">
        <v>70</v>
      </c>
      <c r="D237" s="8" t="n">
        <v>12.3</v>
      </c>
      <c r="E237" s="8" t="n">
        <v>14</v>
      </c>
      <c r="F237" s="8" t="n">
        <v>15.2</v>
      </c>
      <c r="G237" s="8" t="n">
        <v>16.2</v>
      </c>
      <c r="H237" s="8" t="n">
        <v>17.2</v>
      </c>
      <c r="I237" s="8" t="n">
        <v>18.3</v>
      </c>
      <c r="J237" s="8" t="n">
        <v>19.6</v>
      </c>
      <c r="K237" s="8" t="n">
        <v>20.8</v>
      </c>
      <c r="L237" s="8" t="n">
        <v>22.8</v>
      </c>
    </row>
    <row r="238" customFormat="false" ht="15" hidden="false" customHeight="false" outlineLevel="0" collapsed="false">
      <c r="A238" s="6" t="s">
        <v>672</v>
      </c>
      <c r="B238" s="6" t="s">
        <v>666</v>
      </c>
      <c r="C238" s="6" t="n">
        <v>80</v>
      </c>
      <c r="D238" s="8" t="n">
        <v>11.4</v>
      </c>
      <c r="E238" s="8" t="n">
        <v>12.6</v>
      </c>
      <c r="F238" s="8" t="n">
        <v>13.7</v>
      </c>
      <c r="G238" s="8" t="n">
        <v>14.7</v>
      </c>
      <c r="H238" s="8" t="n">
        <v>15.4</v>
      </c>
      <c r="I238" s="8" t="n">
        <v>16</v>
      </c>
      <c r="J238" s="8" t="n">
        <v>17.3</v>
      </c>
      <c r="K238" s="8" t="n">
        <v>18.4</v>
      </c>
      <c r="L238" s="8" t="n">
        <v>20.8</v>
      </c>
    </row>
    <row r="239" customFormat="false" ht="15" hidden="false" customHeight="false" outlineLevel="0" collapsed="false">
      <c r="A239" s="6" t="s">
        <v>673</v>
      </c>
      <c r="B239" s="6" t="s">
        <v>674</v>
      </c>
      <c r="C239" s="6" t="n">
        <v>20</v>
      </c>
      <c r="D239" s="8" t="n">
        <v>18.8</v>
      </c>
      <c r="E239" s="8" t="n">
        <v>21.9</v>
      </c>
      <c r="F239" s="8" t="n">
        <v>25.6</v>
      </c>
      <c r="G239" s="8" t="n">
        <v>28.9</v>
      </c>
      <c r="H239" s="8" t="n">
        <v>31.6</v>
      </c>
      <c r="I239" s="8" t="n">
        <v>34.3</v>
      </c>
      <c r="J239" s="8" t="n">
        <v>37.5</v>
      </c>
      <c r="K239" s="8" t="n">
        <v>40.9</v>
      </c>
      <c r="L239" s="8" t="n">
        <v>46</v>
      </c>
    </row>
    <row r="240" customFormat="false" ht="15" hidden="false" customHeight="false" outlineLevel="0" collapsed="false">
      <c r="A240" s="6" t="s">
        <v>675</v>
      </c>
      <c r="B240" s="6" t="s">
        <v>674</v>
      </c>
      <c r="C240" s="6" t="n">
        <v>30</v>
      </c>
      <c r="D240" s="8" t="n">
        <v>15</v>
      </c>
      <c r="E240" s="8" t="n">
        <v>17</v>
      </c>
      <c r="F240" s="8" t="n">
        <v>18.6</v>
      </c>
      <c r="G240" s="8" t="n">
        <v>19.9</v>
      </c>
      <c r="H240" s="8" t="n">
        <v>21.6</v>
      </c>
      <c r="I240" s="8" t="n">
        <v>22.9</v>
      </c>
      <c r="J240" s="8" t="n">
        <v>24.5</v>
      </c>
      <c r="K240" s="8" t="n">
        <v>27</v>
      </c>
      <c r="L240" s="8" t="n">
        <v>32</v>
      </c>
    </row>
    <row r="241" customFormat="false" ht="15" hidden="false" customHeight="false" outlineLevel="0" collapsed="false">
      <c r="A241" s="6" t="s">
        <v>676</v>
      </c>
      <c r="B241" s="6" t="s">
        <v>674</v>
      </c>
      <c r="C241" s="6" t="n">
        <v>40</v>
      </c>
      <c r="D241" s="8" t="n">
        <v>13.7</v>
      </c>
      <c r="E241" s="8" t="n">
        <v>15.4</v>
      </c>
      <c r="F241" s="8" t="n">
        <v>16.6</v>
      </c>
      <c r="G241" s="8" t="n">
        <v>17.9</v>
      </c>
      <c r="H241" s="8" t="n">
        <v>18.8</v>
      </c>
      <c r="I241" s="8" t="n">
        <v>20.3</v>
      </c>
      <c r="J241" s="8" t="n">
        <v>21.8</v>
      </c>
      <c r="K241" s="8" t="n">
        <v>23.5</v>
      </c>
      <c r="L241" s="8" t="n">
        <v>27.3</v>
      </c>
    </row>
    <row r="242" customFormat="false" ht="15" hidden="false" customHeight="false" outlineLevel="0" collapsed="false">
      <c r="A242" s="6" t="s">
        <v>677</v>
      </c>
      <c r="B242" s="6" t="s">
        <v>674</v>
      </c>
      <c r="C242" s="6" t="n">
        <v>50</v>
      </c>
      <c r="D242" s="8" t="n">
        <v>13</v>
      </c>
      <c r="E242" s="8" t="n">
        <v>14.3</v>
      </c>
      <c r="F242" s="8" t="n">
        <v>15.2</v>
      </c>
      <c r="G242" s="8" t="n">
        <v>16.1</v>
      </c>
      <c r="H242" s="8" t="n">
        <v>16.9</v>
      </c>
      <c r="I242" s="8" t="n">
        <v>17.8</v>
      </c>
      <c r="J242" s="8" t="n">
        <v>18.9</v>
      </c>
      <c r="K242" s="8" t="n">
        <v>20.4</v>
      </c>
      <c r="L242" s="8" t="n">
        <v>22.4</v>
      </c>
    </row>
    <row r="243" customFormat="false" ht="15" hidden="false" customHeight="false" outlineLevel="0" collapsed="false">
      <c r="A243" s="6" t="s">
        <v>678</v>
      </c>
      <c r="B243" s="6" t="s">
        <v>674</v>
      </c>
      <c r="C243" s="6" t="n">
        <v>60</v>
      </c>
      <c r="D243" s="8" t="n">
        <v>12.2</v>
      </c>
      <c r="E243" s="8" t="n">
        <v>13.4</v>
      </c>
      <c r="F243" s="8" t="n">
        <v>14.2</v>
      </c>
      <c r="G243" s="8" t="n">
        <v>15</v>
      </c>
      <c r="H243" s="8" t="n">
        <v>15.7</v>
      </c>
      <c r="I243" s="8" t="n">
        <v>16.4</v>
      </c>
      <c r="J243" s="8" t="n">
        <v>17.4</v>
      </c>
      <c r="K243" s="8" t="n">
        <v>18.5</v>
      </c>
      <c r="L243" s="8" t="n">
        <v>20.3</v>
      </c>
    </row>
    <row r="244" customFormat="false" ht="15" hidden="false" customHeight="false" outlineLevel="0" collapsed="false">
      <c r="A244" s="6" t="s">
        <v>679</v>
      </c>
      <c r="B244" s="6" t="s">
        <v>674</v>
      </c>
      <c r="C244" s="6" t="n">
        <v>70</v>
      </c>
      <c r="D244" s="8" t="n">
        <v>10.7</v>
      </c>
      <c r="E244" s="8" t="n">
        <v>12</v>
      </c>
      <c r="F244" s="8" t="n">
        <v>12.9</v>
      </c>
      <c r="G244" s="8" t="n">
        <v>13.6</v>
      </c>
      <c r="H244" s="8" t="n">
        <v>14.5</v>
      </c>
      <c r="I244" s="8" t="n">
        <v>15</v>
      </c>
      <c r="J244" s="8" t="n">
        <v>15.9</v>
      </c>
      <c r="K244" s="8" t="n">
        <v>16.8</v>
      </c>
      <c r="L244" s="8" t="n">
        <v>18</v>
      </c>
    </row>
    <row r="245" customFormat="false" ht="15" hidden="false" customHeight="false" outlineLevel="0" collapsed="false">
      <c r="A245" s="6" t="s">
        <v>680</v>
      </c>
      <c r="B245" s="6" t="s">
        <v>674</v>
      </c>
      <c r="C245" s="6" t="n">
        <v>80</v>
      </c>
      <c r="D245" s="8" t="n">
        <v>7.8</v>
      </c>
      <c r="E245" s="8" t="n">
        <v>8.7</v>
      </c>
      <c r="F245" s="8" t="n">
        <v>9.4</v>
      </c>
      <c r="G245" s="8" t="n">
        <v>10.1</v>
      </c>
      <c r="H245" s="8" t="n">
        <v>10.9</v>
      </c>
      <c r="I245" s="8" t="n">
        <v>11.3</v>
      </c>
      <c r="J245" s="8" t="n">
        <v>12.9</v>
      </c>
      <c r="K245" s="8" t="n">
        <v>14.3</v>
      </c>
      <c r="L245" s="8" t="n">
        <v>18.1</v>
      </c>
    </row>
    <row r="247" customFormat="false" ht="15" hidden="false" customHeight="false" outlineLevel="0" collapsed="false">
      <c r="A247" s="7" t="s">
        <v>681</v>
      </c>
    </row>
    <row r="249" customFormat="false" ht="16.15" hidden="false" customHeight="false" outlineLevel="0" collapsed="false">
      <c r="A249" s="11" t="s">
        <v>682</v>
      </c>
    </row>
    <row r="250" customFormat="false" ht="15" hidden="false" customHeight="false" outlineLevel="0" collapsed="false">
      <c r="A250" s="4" t="s">
        <v>229</v>
      </c>
      <c r="B250" s="4" t="s">
        <v>683</v>
      </c>
      <c r="C250" s="4" t="s">
        <v>684</v>
      </c>
      <c r="D250" s="4" t="s">
        <v>685</v>
      </c>
      <c r="E250" s="4" t="s">
        <v>686</v>
      </c>
    </row>
    <row r="251" customFormat="false" ht="15" hidden="false" customHeight="false" outlineLevel="0" collapsed="false">
      <c r="A251" s="6" t="s">
        <v>234</v>
      </c>
      <c r="B251" s="10" t="n">
        <v>1</v>
      </c>
      <c r="C251" s="10" t="n">
        <v>1</v>
      </c>
      <c r="D251" s="10" t="n">
        <v>0</v>
      </c>
      <c r="E251" s="6" t="n">
        <f aca="false">SUM(B251:D251)</f>
        <v>2</v>
      </c>
    </row>
    <row r="252" customFormat="false" ht="15" hidden="false" customHeight="false" outlineLevel="0" collapsed="false">
      <c r="A252" s="6" t="s">
        <v>236</v>
      </c>
      <c r="B252" s="10" t="n">
        <v>1</v>
      </c>
      <c r="C252" s="10" t="n">
        <v>0</v>
      </c>
      <c r="D252" s="10" t="n">
        <v>1</v>
      </c>
      <c r="E252" s="6" t="n">
        <f aca="false">SUM(B252:D252)</f>
        <v>2</v>
      </c>
    </row>
    <row r="253" customFormat="false" ht="15" hidden="false" customHeight="false" outlineLevel="0" collapsed="false">
      <c r="A253" s="6" t="s">
        <v>238</v>
      </c>
      <c r="B253" s="10" t="n">
        <v>1</v>
      </c>
      <c r="C253" s="10" t="n">
        <v>0</v>
      </c>
      <c r="D253" s="10" t="n">
        <v>1</v>
      </c>
      <c r="E253" s="6" t="n">
        <f aca="false">SUM(B253:D253)</f>
        <v>2</v>
      </c>
    </row>
    <row r="254" customFormat="false" ht="15" hidden="false" customHeight="false" outlineLevel="0" collapsed="false">
      <c r="A254" s="6" t="s">
        <v>240</v>
      </c>
      <c r="B254" s="10" t="n">
        <v>0</v>
      </c>
      <c r="C254" s="10" t="n">
        <v>1</v>
      </c>
      <c r="D254" s="10" t="n">
        <v>0</v>
      </c>
      <c r="E254" s="6" t="n">
        <f aca="false">SUM(B254:D254)</f>
        <v>1</v>
      </c>
    </row>
    <row r="255" customFormat="false" ht="15" hidden="false" customHeight="false" outlineLevel="0" collapsed="false">
      <c r="A255" s="6" t="s">
        <v>242</v>
      </c>
      <c r="B255" s="10" t="n">
        <v>0</v>
      </c>
      <c r="C255" s="10" t="n">
        <v>1</v>
      </c>
      <c r="D255" s="10" t="n">
        <v>0</v>
      </c>
      <c r="E255" s="6" t="n">
        <f aca="false">SUM(B255:D255)</f>
        <v>1</v>
      </c>
    </row>
    <row r="257" customFormat="false" ht="15" hidden="false" customHeight="false" outlineLevel="0" collapsed="false">
      <c r="A257" s="7" t="s">
        <v>687</v>
      </c>
    </row>
    <row r="259" customFormat="false" ht="16.15" hidden="false" customHeight="false" outlineLevel="0" collapsed="false">
      <c r="A259" s="11" t="s">
        <v>688</v>
      </c>
    </row>
    <row r="260" customFormat="false" ht="15" hidden="false" customHeight="false" outlineLevel="0" collapsed="false">
      <c r="A260" s="4" t="s">
        <v>689</v>
      </c>
      <c r="B260" s="4" t="s">
        <v>690</v>
      </c>
      <c r="C260" s="4" t="s">
        <v>372</v>
      </c>
      <c r="D260" s="4" t="s">
        <v>691</v>
      </c>
    </row>
    <row r="261" customFormat="false" ht="15" hidden="false" customHeight="false" outlineLevel="0" collapsed="false">
      <c r="A261" s="6" t="s">
        <v>692</v>
      </c>
      <c r="B261" s="10" t="n">
        <v>0.5</v>
      </c>
      <c r="C261" s="6" t="s">
        <v>693</v>
      </c>
      <c r="D261" s="7" t="s">
        <v>694</v>
      </c>
    </row>
    <row r="262" customFormat="false" ht="15" hidden="false" customHeight="false" outlineLevel="0" collapsed="false">
      <c r="A262" s="6" t="s">
        <v>695</v>
      </c>
      <c r="B262" s="10" t="n">
        <v>0.1</v>
      </c>
      <c r="C262" s="6" t="s">
        <v>696</v>
      </c>
      <c r="D262" s="7" t="s">
        <v>697</v>
      </c>
    </row>
    <row r="263" customFormat="false" ht="15" hidden="false" customHeight="false" outlineLevel="0" collapsed="false">
      <c r="A263" s="6" t="s">
        <v>698</v>
      </c>
      <c r="B263" s="10" t="n">
        <v>2</v>
      </c>
      <c r="C263" s="6" t="s">
        <v>699</v>
      </c>
      <c r="D263" s="7" t="s">
        <v>700</v>
      </c>
    </row>
    <row r="264" customFormat="false" ht="15" hidden="false" customHeight="false" outlineLevel="0" collapsed="false">
      <c r="A264" s="6" t="s">
        <v>322</v>
      </c>
      <c r="B264" s="10" t="n">
        <v>0.1</v>
      </c>
      <c r="C264" s="6" t="s">
        <v>34</v>
      </c>
      <c r="D264" s="7" t="s">
        <v>701</v>
      </c>
    </row>
    <row r="265" customFormat="false" ht="15" hidden="false" customHeight="false" outlineLevel="0" collapsed="false">
      <c r="A265" s="6" t="s">
        <v>324</v>
      </c>
      <c r="B265" s="10" t="n">
        <v>0.05</v>
      </c>
      <c r="C265" s="6" t="s">
        <v>34</v>
      </c>
      <c r="D265" s="7"/>
    </row>
    <row r="266" customFormat="false" ht="15" hidden="false" customHeight="false" outlineLevel="0" collapsed="false">
      <c r="A266" s="6" t="s">
        <v>55</v>
      </c>
      <c r="B266" s="10" t="n">
        <v>0.15</v>
      </c>
      <c r="C266" s="6" t="s">
        <v>34</v>
      </c>
      <c r="D266" s="7"/>
    </row>
    <row r="267" customFormat="false" ht="15" hidden="false" customHeight="false" outlineLevel="0" collapsed="false">
      <c r="A267" s="6" t="s">
        <v>52</v>
      </c>
      <c r="B267" s="10" t="n">
        <v>0.15</v>
      </c>
      <c r="C267" s="6" t="s">
        <v>34</v>
      </c>
      <c r="D267" s="7"/>
    </row>
    <row r="268" customFormat="false" ht="15" hidden="false" customHeight="false" outlineLevel="0" collapsed="false">
      <c r="A268" s="6" t="s">
        <v>328</v>
      </c>
      <c r="B268" s="10" t="n">
        <v>0.15</v>
      </c>
      <c r="C268" s="6" t="s">
        <v>34</v>
      </c>
      <c r="D268" s="7"/>
    </row>
    <row r="269" customFormat="false" ht="15" hidden="false" customHeight="false" outlineLevel="0" collapsed="false">
      <c r="A269" s="6" t="s">
        <v>330</v>
      </c>
      <c r="B269" s="10" t="n">
        <v>0.05</v>
      </c>
      <c r="C269" s="6" t="s">
        <v>34</v>
      </c>
      <c r="D269" s="7" t="s">
        <v>702</v>
      </c>
    </row>
    <row r="270" customFormat="false" ht="15" hidden="false" customHeight="false" outlineLevel="0" collapsed="false">
      <c r="A270" s="6" t="s">
        <v>64</v>
      </c>
      <c r="B270" s="10" t="n">
        <v>0.1</v>
      </c>
      <c r="C270" s="6" t="s">
        <v>34</v>
      </c>
      <c r="D270" s="7" t="s">
        <v>703</v>
      </c>
    </row>
    <row r="271" customFormat="false" ht="15" hidden="false" customHeight="false" outlineLevel="0" collapsed="false">
      <c r="A271" s="6" t="s">
        <v>704</v>
      </c>
      <c r="B271" s="10" t="n">
        <v>0.3</v>
      </c>
      <c r="C271" s="6" t="s">
        <v>705</v>
      </c>
      <c r="D271" s="7" t="s">
        <v>706</v>
      </c>
    </row>
    <row r="274" customFormat="false" ht="16.15" hidden="false" customHeight="false" outlineLevel="0" collapsed="false">
      <c r="A274" s="11" t="s">
        <v>707</v>
      </c>
    </row>
    <row r="275" customFormat="false" ht="15" hidden="false" customHeight="false" outlineLevel="0" collapsed="false">
      <c r="A275" s="4" t="s">
        <v>364</v>
      </c>
      <c r="B275" s="4" t="s">
        <v>365</v>
      </c>
      <c r="C275" s="4" t="s">
        <v>708</v>
      </c>
      <c r="D275" s="4" t="s">
        <v>709</v>
      </c>
      <c r="E275" s="4" t="s">
        <v>367</v>
      </c>
      <c r="F275" s="4" t="s">
        <v>341</v>
      </c>
      <c r="G275" s="4" t="s">
        <v>342</v>
      </c>
      <c r="H275" s="4" t="s">
        <v>343</v>
      </c>
      <c r="I275" s="4" t="s">
        <v>344</v>
      </c>
      <c r="J275" s="4" t="s">
        <v>345</v>
      </c>
      <c r="K275" s="4" t="s">
        <v>346</v>
      </c>
      <c r="L275" s="4" t="s">
        <v>347</v>
      </c>
      <c r="M275" s="4" t="s">
        <v>348</v>
      </c>
      <c r="N275" s="4" t="s">
        <v>349</v>
      </c>
      <c r="O275" s="4" t="s">
        <v>350</v>
      </c>
      <c r="P275" s="4" t="s">
        <v>351</v>
      </c>
      <c r="Q275" s="4" t="s">
        <v>352</v>
      </c>
      <c r="R275" s="4" t="s">
        <v>353</v>
      </c>
      <c r="S275" s="4" t="s">
        <v>354</v>
      </c>
      <c r="T275" s="4" t="s">
        <v>355</v>
      </c>
      <c r="U275" s="4" t="s">
        <v>356</v>
      </c>
      <c r="V275" s="4" t="s">
        <v>357</v>
      </c>
      <c r="W275" s="4" t="s">
        <v>358</v>
      </c>
      <c r="X275" s="4" t="s">
        <v>359</v>
      </c>
      <c r="Y275" s="4" t="s">
        <v>360</v>
      </c>
    </row>
    <row r="276" customFormat="false" ht="15" hidden="false" customHeight="false" outlineLevel="0" collapsed="false">
      <c r="A276" s="10" t="s">
        <v>586</v>
      </c>
      <c r="B276" s="10" t="s">
        <v>710</v>
      </c>
      <c r="C276" s="10" t="s">
        <v>311</v>
      </c>
      <c r="D276" s="10" t="s">
        <v>357</v>
      </c>
      <c r="E276" s="10" t="s">
        <v>311</v>
      </c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 t="n">
        <v>1</v>
      </c>
      <c r="T276" s="10" t="n">
        <v>1</v>
      </c>
      <c r="U276" s="10"/>
      <c r="V276" s="10" t="n">
        <v>1</v>
      </c>
      <c r="W276" s="10"/>
      <c r="X276" s="10" t="n">
        <v>1</v>
      </c>
      <c r="Y276" s="10"/>
    </row>
    <row r="277" customFormat="false" ht="15" hidden="false" customHeight="false" outlineLevel="0" collapsed="false">
      <c r="A277" s="10" t="s">
        <v>590</v>
      </c>
      <c r="B277" s="10" t="s">
        <v>710</v>
      </c>
      <c r="C277" s="10" t="s">
        <v>311</v>
      </c>
      <c r="D277" s="10" t="s">
        <v>357</v>
      </c>
      <c r="E277" s="10" t="s">
        <v>589</v>
      </c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 t="n">
        <v>1</v>
      </c>
      <c r="R277" s="10"/>
      <c r="S277" s="10"/>
      <c r="T277" s="10" t="n">
        <v>1</v>
      </c>
      <c r="U277" s="10"/>
      <c r="V277" s="10" t="n">
        <v>1</v>
      </c>
      <c r="W277" s="10"/>
      <c r="X277" s="10"/>
      <c r="Y277" s="10"/>
    </row>
    <row r="278" customFormat="false" ht="15" hidden="false" customHeight="false" outlineLevel="0" collapsed="false">
      <c r="A278" s="10" t="s">
        <v>711</v>
      </c>
      <c r="B278" s="10" t="s">
        <v>710</v>
      </c>
      <c r="C278" s="10" t="s">
        <v>311</v>
      </c>
      <c r="D278" s="10" t="s">
        <v>357</v>
      </c>
      <c r="E278" s="10" t="s">
        <v>592</v>
      </c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 t="n">
        <v>1</v>
      </c>
      <c r="U278" s="10"/>
      <c r="V278" s="10" t="n">
        <v>1</v>
      </c>
      <c r="W278" s="10"/>
      <c r="X278" s="10" t="n">
        <v>1</v>
      </c>
      <c r="Y278" s="10"/>
    </row>
    <row r="279" customFormat="false" ht="15" hidden="false" customHeight="false" outlineLevel="0" collapsed="false">
      <c r="A279" s="10" t="s">
        <v>712</v>
      </c>
      <c r="B279" s="10" t="s">
        <v>710</v>
      </c>
      <c r="C279" s="10" t="s">
        <v>311</v>
      </c>
      <c r="D279" s="10" t="s">
        <v>357</v>
      </c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 t="n">
        <v>1</v>
      </c>
      <c r="U279" s="10"/>
      <c r="V279" s="10" t="n">
        <v>1</v>
      </c>
      <c r="W279" s="10"/>
      <c r="X279" s="10" t="n">
        <v>1</v>
      </c>
      <c r="Y279" s="10"/>
    </row>
    <row r="280" customFormat="false" ht="15" hidden="false" customHeight="false" outlineLevel="0" collapsed="false">
      <c r="A280" s="10" t="s">
        <v>595</v>
      </c>
      <c r="B280" s="10" t="s">
        <v>710</v>
      </c>
      <c r="C280" s="10" t="s">
        <v>312</v>
      </c>
      <c r="D280" s="10" t="s">
        <v>356</v>
      </c>
      <c r="E280" s="10" t="s">
        <v>587</v>
      </c>
      <c r="F280" s="10" t="n">
        <v>1</v>
      </c>
      <c r="G280" s="10"/>
      <c r="H280" s="10"/>
      <c r="I280" s="10"/>
      <c r="J280" s="10"/>
      <c r="K280" s="10"/>
      <c r="L280" s="10"/>
      <c r="M280" s="10"/>
      <c r="N280" s="10"/>
      <c r="O280" s="10" t="n">
        <v>1</v>
      </c>
      <c r="P280" s="10"/>
      <c r="Q280" s="10"/>
      <c r="R280" s="10"/>
      <c r="S280" s="10" t="n">
        <v>1</v>
      </c>
      <c r="T280" s="10" t="n">
        <v>1</v>
      </c>
      <c r="U280" s="10" t="n">
        <v>1</v>
      </c>
      <c r="V280" s="10"/>
      <c r="W280" s="10"/>
      <c r="X280" s="10"/>
      <c r="Y280" s="10"/>
    </row>
    <row r="281" customFormat="false" ht="15" hidden="false" customHeight="false" outlineLevel="0" collapsed="false">
      <c r="A281" s="10" t="s">
        <v>713</v>
      </c>
      <c r="B281" s="10" t="s">
        <v>710</v>
      </c>
      <c r="C281" s="10" t="s">
        <v>312</v>
      </c>
      <c r="D281" s="10" t="s">
        <v>356</v>
      </c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 t="n">
        <v>1</v>
      </c>
      <c r="T281" s="10" t="n">
        <v>1</v>
      </c>
      <c r="U281" s="10" t="n">
        <v>1</v>
      </c>
      <c r="V281" s="10"/>
      <c r="W281" s="10"/>
      <c r="X281" s="10"/>
      <c r="Y281" s="10"/>
    </row>
    <row r="282" customFormat="false" ht="15" hidden="false" customHeight="false" outlineLevel="0" collapsed="false">
      <c r="A282" s="10" t="s">
        <v>714</v>
      </c>
      <c r="B282" s="10" t="s">
        <v>710</v>
      </c>
      <c r="C282" s="10" t="s">
        <v>312</v>
      </c>
      <c r="D282" s="10" t="s">
        <v>355</v>
      </c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 t="n">
        <v>1</v>
      </c>
      <c r="U282" s="10" t="n">
        <v>1</v>
      </c>
      <c r="V282" s="10"/>
      <c r="W282" s="10"/>
      <c r="X282" s="10"/>
      <c r="Y282" s="10"/>
    </row>
    <row r="283" customFormat="false" ht="15" hidden="false" customHeight="false" outlineLevel="0" collapsed="false">
      <c r="A283" s="10" t="s">
        <v>604</v>
      </c>
      <c r="B283" s="10" t="s">
        <v>710</v>
      </c>
      <c r="C283" s="10" t="s">
        <v>313</v>
      </c>
      <c r="D283" s="10" t="s">
        <v>347</v>
      </c>
      <c r="E283" s="10" t="s">
        <v>603</v>
      </c>
      <c r="F283" s="10"/>
      <c r="G283" s="10"/>
      <c r="H283" s="10"/>
      <c r="I283" s="10" t="n">
        <v>1</v>
      </c>
      <c r="J283" s="10"/>
      <c r="K283" s="10"/>
      <c r="L283" s="10" t="n">
        <v>1</v>
      </c>
      <c r="M283" s="10"/>
      <c r="N283" s="10" t="n">
        <v>1</v>
      </c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</row>
    <row r="284" customFormat="false" ht="15" hidden="false" customHeight="false" outlineLevel="0" collapsed="false">
      <c r="A284" s="10" t="s">
        <v>607</v>
      </c>
      <c r="B284" s="10" t="s">
        <v>710</v>
      </c>
      <c r="C284" s="10" t="s">
        <v>313</v>
      </c>
      <c r="D284" s="10" t="s">
        <v>347</v>
      </c>
      <c r="E284" s="10" t="s">
        <v>606</v>
      </c>
      <c r="F284" s="10"/>
      <c r="G284" s="10"/>
      <c r="H284" s="10"/>
      <c r="I284" s="10" t="n">
        <v>1</v>
      </c>
      <c r="J284" s="10"/>
      <c r="K284" s="10"/>
      <c r="L284" s="10" t="n">
        <v>1</v>
      </c>
      <c r="M284" s="10"/>
      <c r="N284" s="10" t="n">
        <v>1</v>
      </c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</row>
    <row r="285" customFormat="false" ht="15" hidden="false" customHeight="false" outlineLevel="0" collapsed="false">
      <c r="A285" s="10" t="s">
        <v>715</v>
      </c>
      <c r="B285" s="10" t="s">
        <v>710</v>
      </c>
      <c r="C285" s="10" t="s">
        <v>313</v>
      </c>
      <c r="D285" s="10" t="s">
        <v>347</v>
      </c>
      <c r="E285" s="10"/>
      <c r="F285" s="10"/>
      <c r="G285" s="10"/>
      <c r="H285" s="10"/>
      <c r="I285" s="10" t="n">
        <v>1</v>
      </c>
      <c r="J285" s="10"/>
      <c r="K285" s="10"/>
      <c r="L285" s="10" t="n">
        <v>1</v>
      </c>
      <c r="M285" s="10"/>
      <c r="N285" s="10" t="n">
        <v>1</v>
      </c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</row>
    <row r="286" customFormat="false" ht="15" hidden="false" customHeight="false" outlineLevel="0" collapsed="false">
      <c r="A286" s="10" t="s">
        <v>716</v>
      </c>
      <c r="B286" s="10" t="s">
        <v>710</v>
      </c>
      <c r="C286" s="10" t="s">
        <v>313</v>
      </c>
      <c r="D286" s="10" t="s">
        <v>349</v>
      </c>
      <c r="E286" s="10"/>
      <c r="F286" s="10"/>
      <c r="G286" s="10"/>
      <c r="H286" s="10"/>
      <c r="I286" s="10"/>
      <c r="J286" s="10"/>
      <c r="K286" s="10"/>
      <c r="L286" s="10" t="n">
        <v>1</v>
      </c>
      <c r="M286" s="10"/>
      <c r="N286" s="10" t="n">
        <v>1</v>
      </c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</row>
    <row r="287" customFormat="false" ht="15" hidden="false" customHeight="false" outlineLevel="0" collapsed="false">
      <c r="A287" s="10" t="s">
        <v>610</v>
      </c>
      <c r="B287" s="10" t="s">
        <v>710</v>
      </c>
      <c r="C287" s="10" t="s">
        <v>313</v>
      </c>
      <c r="D287" s="10" t="s">
        <v>347</v>
      </c>
      <c r="E287" s="10" t="s">
        <v>609</v>
      </c>
      <c r="F287" s="10"/>
      <c r="G287" s="10"/>
      <c r="H287" s="10"/>
      <c r="I287" s="10" t="n">
        <v>1</v>
      </c>
      <c r="J287" s="10"/>
      <c r="K287" s="10"/>
      <c r="L287" s="10" t="n">
        <v>1</v>
      </c>
      <c r="M287" s="10"/>
      <c r="N287" s="10" t="n">
        <v>1</v>
      </c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</row>
    <row r="288" customFormat="false" ht="15" hidden="false" customHeight="false" outlineLevel="0" collapsed="false">
      <c r="A288" s="10" t="s">
        <v>613</v>
      </c>
      <c r="B288" s="10" t="s">
        <v>710</v>
      </c>
      <c r="C288" s="10" t="s">
        <v>314</v>
      </c>
      <c r="D288" s="10" t="s">
        <v>344</v>
      </c>
      <c r="E288" s="10" t="s">
        <v>612</v>
      </c>
      <c r="F288" s="10"/>
      <c r="G288" s="10"/>
      <c r="H288" s="10"/>
      <c r="I288" s="10" t="n">
        <v>1</v>
      </c>
      <c r="J288" s="10" t="n">
        <v>1</v>
      </c>
      <c r="K288" s="10"/>
      <c r="L288" s="10"/>
      <c r="M288" s="10"/>
      <c r="N288" s="10" t="n">
        <v>1</v>
      </c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</row>
    <row r="289" customFormat="false" ht="15" hidden="false" customHeight="false" outlineLevel="0" collapsed="false">
      <c r="A289" s="10" t="s">
        <v>717</v>
      </c>
      <c r="B289" s="10" t="s">
        <v>710</v>
      </c>
      <c r="C289" s="10" t="s">
        <v>314</v>
      </c>
      <c r="D289" s="10" t="s">
        <v>344</v>
      </c>
      <c r="E289" s="10"/>
      <c r="F289" s="10"/>
      <c r="G289" s="10"/>
      <c r="H289" s="10"/>
      <c r="I289" s="10" t="n">
        <v>1</v>
      </c>
      <c r="J289" s="10" t="n">
        <v>1</v>
      </c>
      <c r="K289" s="10"/>
      <c r="L289" s="10"/>
      <c r="M289" s="10"/>
      <c r="N289" s="10" t="n">
        <v>1</v>
      </c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</row>
    <row r="290" customFormat="false" ht="15" hidden="false" customHeight="false" outlineLevel="0" collapsed="false">
      <c r="A290" s="10" t="s">
        <v>622</v>
      </c>
      <c r="B290" s="10" t="s">
        <v>710</v>
      </c>
      <c r="C290" s="10" t="s">
        <v>315</v>
      </c>
      <c r="D290" s="10" t="s">
        <v>353</v>
      </c>
      <c r="E290" s="10" t="s">
        <v>621</v>
      </c>
      <c r="F290" s="10"/>
      <c r="G290" s="10"/>
      <c r="H290" s="10"/>
      <c r="I290" s="10"/>
      <c r="J290" s="10"/>
      <c r="K290" s="10" t="n">
        <v>1</v>
      </c>
      <c r="L290" s="10"/>
      <c r="M290" s="10" t="n">
        <v>1</v>
      </c>
      <c r="N290" s="10"/>
      <c r="O290" s="10"/>
      <c r="P290" s="10"/>
      <c r="Q290" s="10"/>
      <c r="R290" s="10" t="n">
        <v>1</v>
      </c>
      <c r="S290" s="10"/>
      <c r="T290" s="10"/>
      <c r="U290" s="10"/>
      <c r="V290" s="10"/>
      <c r="W290" s="10"/>
      <c r="X290" s="10"/>
      <c r="Y290" s="10"/>
    </row>
    <row r="291" customFormat="false" ht="15" hidden="false" customHeight="false" outlineLevel="0" collapsed="false">
      <c r="A291" s="10" t="s">
        <v>625</v>
      </c>
      <c r="B291" s="10" t="s">
        <v>710</v>
      </c>
      <c r="C291" s="10" t="s">
        <v>315</v>
      </c>
      <c r="D291" s="10" t="s">
        <v>353</v>
      </c>
      <c r="E291" s="10" t="s">
        <v>624</v>
      </c>
      <c r="F291" s="10"/>
      <c r="G291" s="10"/>
      <c r="H291" s="10" t="n">
        <v>1</v>
      </c>
      <c r="I291" s="10"/>
      <c r="J291" s="10"/>
      <c r="K291" s="10"/>
      <c r="L291" s="10"/>
      <c r="M291" s="10" t="n">
        <v>1</v>
      </c>
      <c r="N291" s="10"/>
      <c r="O291" s="10"/>
      <c r="P291" s="10"/>
      <c r="Q291" s="10"/>
      <c r="R291" s="10" t="n">
        <v>1</v>
      </c>
      <c r="S291" s="10"/>
      <c r="T291" s="10"/>
      <c r="U291" s="10"/>
      <c r="V291" s="10"/>
      <c r="W291" s="10"/>
      <c r="X291" s="10"/>
      <c r="Y291" s="10"/>
    </row>
    <row r="292" customFormat="false" ht="15" hidden="false" customHeight="false" outlineLevel="0" collapsed="false">
      <c r="A292" s="10" t="s">
        <v>630</v>
      </c>
      <c r="B292" s="10" t="s">
        <v>710</v>
      </c>
      <c r="C292" s="10" t="s">
        <v>315</v>
      </c>
      <c r="D292" s="10" t="s">
        <v>353</v>
      </c>
      <c r="E292" s="10" t="s">
        <v>629</v>
      </c>
      <c r="F292" s="10"/>
      <c r="G292" s="10"/>
      <c r="H292" s="10"/>
      <c r="I292" s="10"/>
      <c r="J292" s="10"/>
      <c r="K292" s="10"/>
      <c r="L292" s="10"/>
      <c r="M292" s="10" t="n">
        <v>1</v>
      </c>
      <c r="N292" s="10"/>
      <c r="O292" s="10"/>
      <c r="P292" s="10"/>
      <c r="Q292" s="10"/>
      <c r="R292" s="10" t="n">
        <v>1</v>
      </c>
      <c r="S292" s="10"/>
      <c r="T292" s="10"/>
      <c r="U292" s="10"/>
      <c r="V292" s="10"/>
      <c r="W292" s="10"/>
      <c r="X292" s="10"/>
      <c r="Y292" s="10"/>
    </row>
    <row r="293" customFormat="false" ht="15" hidden="false" customHeight="false" outlineLevel="0" collapsed="false">
      <c r="A293" s="10" t="s">
        <v>627</v>
      </c>
      <c r="B293" s="10" t="s">
        <v>710</v>
      </c>
      <c r="C293" s="10" t="s">
        <v>315</v>
      </c>
      <c r="D293" s="10" t="s">
        <v>353</v>
      </c>
      <c r="E293" s="10" t="s">
        <v>626</v>
      </c>
      <c r="F293" s="10"/>
      <c r="G293" s="10" t="n">
        <v>1</v>
      </c>
      <c r="H293" s="10"/>
      <c r="I293" s="10"/>
      <c r="J293" s="10"/>
      <c r="K293" s="10" t="n">
        <v>1</v>
      </c>
      <c r="L293" s="10"/>
      <c r="M293" s="10" t="n">
        <v>1</v>
      </c>
      <c r="N293" s="10"/>
      <c r="O293" s="10"/>
      <c r="P293" s="10"/>
      <c r="Q293" s="10"/>
      <c r="R293" s="10" t="n">
        <v>1</v>
      </c>
      <c r="S293" s="10"/>
      <c r="T293" s="10"/>
      <c r="U293" s="10"/>
      <c r="V293" s="10"/>
      <c r="W293" s="10"/>
      <c r="X293" s="10"/>
      <c r="Y293" s="10"/>
    </row>
    <row r="294" customFormat="false" ht="15" hidden="false" customHeight="false" outlineLevel="0" collapsed="false">
      <c r="A294" s="10" t="s">
        <v>633</v>
      </c>
      <c r="B294" s="10" t="s">
        <v>710</v>
      </c>
      <c r="C294" s="10" t="s">
        <v>315</v>
      </c>
      <c r="D294" s="10" t="s">
        <v>353</v>
      </c>
      <c r="E294" s="10" t="s">
        <v>632</v>
      </c>
      <c r="F294" s="10"/>
      <c r="G294" s="10" t="n">
        <v>1</v>
      </c>
      <c r="H294" s="10"/>
      <c r="I294" s="10"/>
      <c r="J294" s="10"/>
      <c r="K294" s="10" t="n">
        <v>1</v>
      </c>
      <c r="L294" s="10"/>
      <c r="M294" s="10"/>
      <c r="N294" s="10"/>
      <c r="O294" s="10"/>
      <c r="P294" s="10"/>
      <c r="Q294" s="10"/>
      <c r="R294" s="10" t="n">
        <v>1</v>
      </c>
      <c r="S294" s="10"/>
      <c r="T294" s="10"/>
      <c r="U294" s="10"/>
      <c r="V294" s="10"/>
      <c r="W294" s="10"/>
      <c r="X294" s="10"/>
      <c r="Y294" s="10"/>
    </row>
    <row r="295" customFormat="false" ht="15" hidden="false" customHeight="false" outlineLevel="0" collapsed="false">
      <c r="A295" s="10" t="s">
        <v>718</v>
      </c>
      <c r="B295" s="10" t="s">
        <v>710</v>
      </c>
      <c r="C295" s="10" t="s">
        <v>312</v>
      </c>
      <c r="D295" s="10" t="s">
        <v>350</v>
      </c>
      <c r="E295" s="10"/>
      <c r="F295" s="10" t="n">
        <v>1</v>
      </c>
      <c r="G295" s="10"/>
      <c r="H295" s="10"/>
      <c r="I295" s="10"/>
      <c r="J295" s="10"/>
      <c r="K295" s="10"/>
      <c r="L295" s="10"/>
      <c r="M295" s="10"/>
      <c r="N295" s="10"/>
      <c r="O295" s="10" t="n">
        <v>1</v>
      </c>
      <c r="P295" s="10" t="n">
        <v>1</v>
      </c>
      <c r="Q295" s="10"/>
      <c r="R295" s="10"/>
      <c r="S295" s="10"/>
      <c r="T295" s="10"/>
      <c r="U295" s="10"/>
      <c r="V295" s="10"/>
      <c r="W295" s="10"/>
      <c r="X295" s="10"/>
      <c r="Y295" s="10"/>
    </row>
    <row r="296" customFormat="false" ht="15" hidden="false" customHeight="false" outlineLevel="0" collapsed="false">
      <c r="A296" s="10" t="s">
        <v>719</v>
      </c>
      <c r="B296" s="10" t="s">
        <v>720</v>
      </c>
      <c r="C296" s="10"/>
      <c r="D296" s="10" t="s">
        <v>357</v>
      </c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 t="n">
        <v>1</v>
      </c>
      <c r="W296" s="10"/>
      <c r="X296" s="10"/>
      <c r="Y296" s="10"/>
    </row>
    <row r="297" customFormat="false" ht="15" hidden="false" customHeight="false" outlineLevel="0" collapsed="false">
      <c r="A297" s="10" t="s">
        <v>721</v>
      </c>
      <c r="B297" s="10" t="s">
        <v>720</v>
      </c>
      <c r="C297" s="10"/>
      <c r="D297" s="10" t="s">
        <v>356</v>
      </c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 t="n">
        <v>1</v>
      </c>
      <c r="V297" s="10"/>
      <c r="W297" s="10"/>
      <c r="X297" s="10"/>
      <c r="Y297" s="10"/>
    </row>
    <row r="298" customFormat="false" ht="15" hidden="false" customHeight="false" outlineLevel="0" collapsed="false">
      <c r="A298" s="10" t="s">
        <v>722</v>
      </c>
      <c r="B298" s="10" t="s">
        <v>720</v>
      </c>
      <c r="C298" s="10"/>
      <c r="D298" s="10" t="s">
        <v>359</v>
      </c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 t="n">
        <v>1</v>
      </c>
      <c r="Y298" s="10"/>
    </row>
    <row r="299" customFormat="false" ht="15" hidden="false" customHeight="false" outlineLevel="0" collapsed="false">
      <c r="A299" s="10" t="s">
        <v>723</v>
      </c>
      <c r="B299" s="10" t="s">
        <v>720</v>
      </c>
      <c r="C299" s="10"/>
      <c r="D299" s="10" t="s">
        <v>360</v>
      </c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 t="n">
        <v>1</v>
      </c>
    </row>
    <row r="300" customFormat="false" ht="15" hidden="false" customHeight="false" outlineLevel="0" collapsed="false">
      <c r="A300" s="10" t="s">
        <v>724</v>
      </c>
      <c r="B300" s="10" t="s">
        <v>720</v>
      </c>
      <c r="C300" s="10"/>
      <c r="D300" s="10" t="s">
        <v>360</v>
      </c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 t="n">
        <v>1</v>
      </c>
    </row>
    <row r="301" customFormat="false" ht="15" hidden="false" customHeight="false" outlineLevel="0" collapsed="false">
      <c r="A301" s="10" t="s">
        <v>725</v>
      </c>
      <c r="B301" s="10" t="s">
        <v>720</v>
      </c>
      <c r="C301" s="10"/>
      <c r="D301" s="10" t="s">
        <v>354</v>
      </c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 t="n">
        <v>1</v>
      </c>
      <c r="T301" s="10" t="n">
        <v>1</v>
      </c>
      <c r="U301" s="10"/>
      <c r="V301" s="10"/>
      <c r="W301" s="10"/>
      <c r="X301" s="10"/>
      <c r="Y301" s="10"/>
    </row>
    <row r="302" customFormat="false" ht="15" hidden="false" customHeight="false" outlineLevel="0" collapsed="false">
      <c r="A302" s="10" t="s">
        <v>726</v>
      </c>
      <c r="B302" s="10" t="s">
        <v>720</v>
      </c>
      <c r="C302" s="10"/>
      <c r="D302" s="10" t="s">
        <v>352</v>
      </c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 t="n">
        <v>1</v>
      </c>
      <c r="R302" s="10"/>
      <c r="S302" s="10"/>
      <c r="T302" s="10"/>
      <c r="U302" s="10"/>
      <c r="V302" s="10"/>
      <c r="W302" s="10" t="n">
        <v>1</v>
      </c>
      <c r="X302" s="10"/>
      <c r="Y302" s="10"/>
    </row>
    <row r="303" customFormat="false" ht="15" hidden="false" customHeight="false" outlineLevel="0" collapsed="false">
      <c r="A303" s="10" t="s">
        <v>727</v>
      </c>
      <c r="B303" s="10" t="s">
        <v>720</v>
      </c>
      <c r="C303" s="10"/>
      <c r="D303" s="10" t="s">
        <v>352</v>
      </c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 t="n">
        <v>1</v>
      </c>
      <c r="R303" s="10"/>
      <c r="S303" s="10"/>
      <c r="T303" s="10"/>
      <c r="U303" s="10"/>
      <c r="V303" s="10"/>
      <c r="W303" s="10"/>
      <c r="X303" s="10"/>
      <c r="Y303" s="10"/>
    </row>
    <row r="304" customFormat="false" ht="15" hidden="false" customHeight="false" outlineLevel="0" collapsed="false">
      <c r="A304" s="10" t="s">
        <v>728</v>
      </c>
      <c r="B304" s="10" t="s">
        <v>720</v>
      </c>
      <c r="C304" s="10"/>
      <c r="D304" s="10" t="s">
        <v>345</v>
      </c>
      <c r="E304" s="10"/>
      <c r="F304" s="10"/>
      <c r="G304" s="10"/>
      <c r="H304" s="10"/>
      <c r="I304" s="10"/>
      <c r="J304" s="10" t="n">
        <v>1</v>
      </c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</row>
    <row r="305" customFormat="false" ht="15" hidden="false" customHeight="false" outlineLevel="0" collapsed="false">
      <c r="A305" s="10" t="s">
        <v>729</v>
      </c>
      <c r="B305" s="10" t="s">
        <v>720</v>
      </c>
      <c r="C305" s="10"/>
      <c r="D305" s="10" t="s">
        <v>346</v>
      </c>
      <c r="E305" s="10"/>
      <c r="F305" s="10"/>
      <c r="G305" s="10" t="n">
        <v>1</v>
      </c>
      <c r="H305" s="10"/>
      <c r="I305" s="10"/>
      <c r="J305" s="10"/>
      <c r="K305" s="10" t="n">
        <v>1</v>
      </c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r="306" customFormat="false" ht="15" hidden="false" customHeight="false" outlineLevel="0" collapsed="false">
      <c r="A306" s="10" t="s">
        <v>730</v>
      </c>
      <c r="B306" s="10" t="s">
        <v>720</v>
      </c>
      <c r="C306" s="10"/>
      <c r="D306" s="10" t="s">
        <v>347</v>
      </c>
      <c r="E306" s="10"/>
      <c r="F306" s="10"/>
      <c r="G306" s="10"/>
      <c r="H306" s="10"/>
      <c r="I306" s="10"/>
      <c r="J306" s="10"/>
      <c r="K306" s="10"/>
      <c r="L306" s="10" t="n">
        <v>1</v>
      </c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</row>
    <row r="307" customFormat="false" ht="15" hidden="false" customHeight="false" outlineLevel="0" collapsed="false">
      <c r="A307" s="10" t="s">
        <v>731</v>
      </c>
      <c r="B307" s="10" t="s">
        <v>720</v>
      </c>
      <c r="C307" s="10"/>
      <c r="D307" s="10" t="s">
        <v>348</v>
      </c>
      <c r="E307" s="10"/>
      <c r="F307" s="10"/>
      <c r="G307" s="10"/>
      <c r="H307" s="10"/>
      <c r="I307" s="10"/>
      <c r="J307" s="10"/>
      <c r="K307" s="10"/>
      <c r="L307" s="10"/>
      <c r="M307" s="10" t="n">
        <v>1</v>
      </c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</row>
    <row r="308" customFormat="false" ht="15" hidden="false" customHeight="false" outlineLevel="0" collapsed="false">
      <c r="A308" s="10" t="s">
        <v>732</v>
      </c>
      <c r="B308" s="10" t="s">
        <v>720</v>
      </c>
      <c r="C308" s="10"/>
      <c r="D308" s="10" t="s">
        <v>348</v>
      </c>
      <c r="E308" s="10"/>
      <c r="F308" s="10"/>
      <c r="G308" s="10"/>
      <c r="H308" s="10"/>
      <c r="I308" s="10"/>
      <c r="J308" s="10"/>
      <c r="K308" s="10"/>
      <c r="L308" s="10"/>
      <c r="M308" s="10" t="n">
        <v>1</v>
      </c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</row>
    <row r="309" customFormat="false" ht="15" hidden="false" customHeight="false" outlineLevel="0" collapsed="false">
      <c r="A309" s="10" t="s">
        <v>733</v>
      </c>
      <c r="B309" s="10" t="s">
        <v>720</v>
      </c>
      <c r="C309" s="10"/>
      <c r="D309" s="10" t="s">
        <v>348</v>
      </c>
      <c r="E309" s="10"/>
      <c r="F309" s="10"/>
      <c r="G309" s="10"/>
      <c r="H309" s="10"/>
      <c r="I309" s="10"/>
      <c r="J309" s="10"/>
      <c r="K309" s="10"/>
      <c r="L309" s="10"/>
      <c r="M309" s="10" t="n">
        <v>1</v>
      </c>
      <c r="N309" s="10"/>
      <c r="O309" s="10" t="n">
        <v>1</v>
      </c>
      <c r="P309" s="10"/>
      <c r="Q309" s="10"/>
      <c r="R309" s="10"/>
      <c r="S309" s="10"/>
      <c r="T309" s="10"/>
      <c r="U309" s="10"/>
      <c r="V309" s="10"/>
      <c r="W309" s="10"/>
      <c r="X309" s="10"/>
      <c r="Y309" s="10"/>
    </row>
    <row r="310" customFormat="false" ht="15" hidden="false" customHeight="false" outlineLevel="0" collapsed="false">
      <c r="A310" s="10" t="s">
        <v>734</v>
      </c>
      <c r="B310" s="10" t="s">
        <v>720</v>
      </c>
      <c r="C310" s="10"/>
      <c r="D310" s="10" t="s">
        <v>349</v>
      </c>
      <c r="E310" s="10"/>
      <c r="F310" s="10"/>
      <c r="G310" s="10"/>
      <c r="H310" s="10"/>
      <c r="I310" s="10"/>
      <c r="J310" s="10"/>
      <c r="K310" s="10"/>
      <c r="L310" s="10"/>
      <c r="M310" s="10"/>
      <c r="N310" s="10" t="n">
        <v>1</v>
      </c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</row>
    <row r="311" customFormat="false" ht="15" hidden="false" customHeight="false" outlineLevel="0" collapsed="false">
      <c r="A311" s="10" t="s">
        <v>735</v>
      </c>
      <c r="B311" s="10" t="s">
        <v>720</v>
      </c>
      <c r="C311" s="10"/>
      <c r="D311" s="10" t="s">
        <v>349</v>
      </c>
      <c r="E311" s="10"/>
      <c r="F311" s="10"/>
      <c r="G311" s="10"/>
      <c r="H311" s="10"/>
      <c r="I311" s="10"/>
      <c r="J311" s="10"/>
      <c r="K311" s="10"/>
      <c r="L311" s="10"/>
      <c r="M311" s="10"/>
      <c r="N311" s="10" t="n">
        <v>1</v>
      </c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</row>
    <row r="312" customFormat="false" ht="15" hidden="false" customHeight="false" outlineLevel="0" collapsed="false">
      <c r="A312" s="10" t="s">
        <v>736</v>
      </c>
      <c r="B312" s="10" t="s">
        <v>720</v>
      </c>
      <c r="C312" s="10"/>
      <c r="D312" s="10" t="s">
        <v>349</v>
      </c>
      <c r="E312" s="10"/>
      <c r="F312" s="10"/>
      <c r="G312" s="10"/>
      <c r="H312" s="10"/>
      <c r="I312" s="10"/>
      <c r="J312" s="10"/>
      <c r="K312" s="10"/>
      <c r="L312" s="10"/>
      <c r="M312" s="10"/>
      <c r="N312" s="10" t="n">
        <v>1</v>
      </c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</row>
    <row r="313" customFormat="false" ht="15" hidden="false" customHeight="false" outlineLevel="0" collapsed="false">
      <c r="A313" s="10" t="s">
        <v>737</v>
      </c>
      <c r="B313" s="10" t="s">
        <v>720</v>
      </c>
      <c r="C313" s="10"/>
      <c r="D313" s="10" t="s">
        <v>350</v>
      </c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 t="n">
        <v>1</v>
      </c>
      <c r="P313" s="10"/>
      <c r="Q313" s="10"/>
      <c r="R313" s="10"/>
      <c r="S313" s="10"/>
      <c r="T313" s="10"/>
      <c r="U313" s="10"/>
      <c r="V313" s="10"/>
      <c r="W313" s="10"/>
      <c r="X313" s="10"/>
      <c r="Y313" s="10"/>
    </row>
    <row r="314" customFormat="false" ht="15" hidden="false" customHeight="false" outlineLevel="0" collapsed="false">
      <c r="A314" s="10" t="s">
        <v>738</v>
      </c>
      <c r="B314" s="10" t="s">
        <v>720</v>
      </c>
      <c r="C314" s="10"/>
      <c r="D314" s="10" t="s">
        <v>341</v>
      </c>
      <c r="E314" s="10"/>
      <c r="F314" s="10" t="n">
        <v>1</v>
      </c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</row>
    <row r="316" customFormat="false" ht="15" hidden="false" customHeight="false" outlineLevel="0" collapsed="false">
      <c r="A316" s="7" t="s">
        <v>739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8" min="2" style="0" width="14"/>
  </cols>
  <sheetData>
    <row r="1" customFormat="false" ht="16.15" hidden="false" customHeight="false" outlineLevel="0" collapsed="false">
      <c r="A1" s="11" t="s">
        <v>740</v>
      </c>
    </row>
    <row r="2" customFormat="false" ht="15" hidden="false" customHeight="false" outlineLevel="0" collapsed="false">
      <c r="A2" s="12" t="s">
        <v>225</v>
      </c>
      <c r="B2" s="5" t="n">
        <f aca="false">MAX(Measurements!$E$1:$AH$1)</f>
        <v>46266</v>
      </c>
      <c r="C2" s="7" t="s">
        <v>741</v>
      </c>
    </row>
    <row r="3" customFormat="false" ht="15" hidden="false" customHeight="false" outlineLevel="0" collapsed="false">
      <c r="A3" s="12" t="s">
        <v>742</v>
      </c>
      <c r="B3" s="6" t="n">
        <f aca="false">MATCH(r_date,Measurements!$E$1:$AH$1,0)</f>
        <v>1</v>
      </c>
    </row>
    <row r="5" customFormat="false" ht="16.15" hidden="false" customHeight="false" outlineLevel="0" collapsed="false">
      <c r="A5" s="11" t="s">
        <v>743</v>
      </c>
    </row>
    <row r="6" customFormat="false" ht="15" hidden="false" customHeight="false" outlineLevel="0" collapsed="false">
      <c r="A6" s="4" t="s">
        <v>28</v>
      </c>
      <c r="B6" s="4" t="s">
        <v>371</v>
      </c>
      <c r="C6" s="4" t="s">
        <v>372</v>
      </c>
    </row>
    <row r="7" customFormat="false" ht="15" hidden="false" customHeight="false" outlineLevel="0" collapsed="false">
      <c r="A7" s="6" t="s">
        <v>32</v>
      </c>
      <c r="B7" s="17" t="n">
        <f aca="false">IF(INDEX(Measurements!$E$2:$AH$69,MATCH("height",Measurements!$A$2:$A$69,0),r_col)="","",INDEX(Measurements!$E$2:$AH$69,MATCH("height",Measurements!$A$2:$A$69,0),r_col))</f>
        <v>164</v>
      </c>
      <c r="C7" s="6" t="s">
        <v>34</v>
      </c>
    </row>
    <row r="8" customFormat="false" ht="15" hidden="false" customHeight="false" outlineLevel="0" collapsed="false">
      <c r="A8" s="6" t="s">
        <v>36</v>
      </c>
      <c r="B8" s="17" t="n">
        <f aca="false">IF(INDEX(Measurements!$E$2:$AH$69,MATCH("weight",Measurements!$A$2:$A$69,0),r_col)="","",INDEX(Measurements!$E$2:$AH$69,MATCH("weight",Measurements!$A$2:$A$69,0),r_col))</f>
        <v>66</v>
      </c>
      <c r="C8" s="6" t="s">
        <v>38</v>
      </c>
    </row>
    <row r="9" customFormat="false" ht="15" hidden="false" customHeight="false" outlineLevel="0" collapsed="false">
      <c r="A9" s="6" t="s">
        <v>40</v>
      </c>
      <c r="B9" s="17" t="n">
        <f aca="false">IF(INDEX(Measurements!$E$2:$AH$69,MATCH("age",Measurements!$A$2:$A$69,0),r_col)="","",INDEX(Measurements!$E$2:$AH$69,MATCH("age",Measurements!$A$2:$A$69,0),r_col))</f>
        <v>38</v>
      </c>
      <c r="C9" s="6" t="s">
        <v>42</v>
      </c>
    </row>
    <row r="10" customFormat="false" ht="15" hidden="false" customHeight="false" outlineLevel="0" collapsed="false">
      <c r="A10" s="6" t="s">
        <v>44</v>
      </c>
      <c r="B10" s="17" t="str">
        <f aca="false">IF(INDEX(Measurements!$E$2:$AH$69,MATCH("sex",Measurements!$A$2:$A$69,0),r_col)="","",INDEX(Measurements!$E$2:$AH$69,MATCH("sex",Measurements!$A$2:$A$69,0),r_col))</f>
        <v>female</v>
      </c>
      <c r="C10" s="6" t="s">
        <v>46</v>
      </c>
    </row>
    <row r="11" customFormat="false" ht="15" hidden="false" customHeight="false" outlineLevel="0" collapsed="false">
      <c r="A11" s="6" t="s">
        <v>49</v>
      </c>
      <c r="B11" s="17" t="n">
        <f aca="false">IF(INDEX(Measurements!$E$2:$AH$69,MATCH("neck",Measurements!$A$2:$A$69,0),r_col)="","",INDEX(Measurements!$E$2:$AH$69,MATCH("neck",Measurements!$A$2:$A$69,0),r_col))</f>
        <v>32</v>
      </c>
      <c r="C11" s="6" t="s">
        <v>34</v>
      </c>
    </row>
    <row r="12" customFormat="false" ht="15" hidden="false" customHeight="false" outlineLevel="0" collapsed="false">
      <c r="A12" s="6" t="s">
        <v>52</v>
      </c>
      <c r="B12" s="17" t="n">
        <f aca="false">IF(INDEX(Measurements!$E$2:$AH$69,MATCH("shoulders",Measurements!$A$2:$A$69,0),r_col)="","",INDEX(Measurements!$E$2:$AH$69,MATCH("shoulders",Measurements!$A$2:$A$69,0),r_col))</f>
        <v>102</v>
      </c>
      <c r="C12" s="6" t="s">
        <v>34</v>
      </c>
    </row>
    <row r="13" customFormat="false" ht="15" hidden="false" customHeight="false" outlineLevel="0" collapsed="false">
      <c r="A13" s="6" t="s">
        <v>55</v>
      </c>
      <c r="B13" s="17" t="n">
        <f aca="false">IF(INDEX(Measurements!$E$2:$AH$69,MATCH("chest",Measurements!$A$2:$A$69,0),r_col)="","",INDEX(Measurements!$E$2:$AH$69,MATCH("chest",Measurements!$A$2:$A$69,0),r_col))</f>
        <v>92</v>
      </c>
      <c r="C13" s="6" t="s">
        <v>34</v>
      </c>
    </row>
    <row r="14" customFormat="false" ht="15" hidden="false" customHeight="false" outlineLevel="0" collapsed="false">
      <c r="A14" s="6" t="s">
        <v>58</v>
      </c>
      <c r="B14" s="17" t="n">
        <f aca="false">IF(INDEX(Measurements!$E$2:$AH$69,MATCH("chest_relaxed",Measurements!$A$2:$A$69,0),r_col)="","",INDEX(Measurements!$E$2:$AH$69,MATCH("chest_relaxed",Measurements!$A$2:$A$69,0),r_col))</f>
        <v>90</v>
      </c>
      <c r="C14" s="6" t="s">
        <v>34</v>
      </c>
    </row>
    <row r="15" customFormat="false" ht="15" hidden="false" customHeight="false" outlineLevel="0" collapsed="false">
      <c r="A15" s="6" t="s">
        <v>61</v>
      </c>
      <c r="B15" s="17" t="n">
        <f aca="false">IF(INDEX(Measurements!$E$2:$AH$69,MATCH("waist",Measurements!$A$2:$A$69,0),r_col)="","",INDEX(Measurements!$E$2:$AH$69,MATCH("waist",Measurements!$A$2:$A$69,0),r_col))</f>
        <v>76</v>
      </c>
      <c r="C15" s="6" t="s">
        <v>34</v>
      </c>
    </row>
    <row r="16" customFormat="false" ht="15" hidden="false" customHeight="false" outlineLevel="0" collapsed="false">
      <c r="A16" s="6" t="s">
        <v>64</v>
      </c>
      <c r="B16" s="17" t="n">
        <f aca="false">IF(INDEX(Measurements!$E$2:$AH$69,MATCH("hips",Measurements!$A$2:$A$69,0),r_col)="","",INDEX(Measurements!$E$2:$AH$69,MATCH("hips",Measurements!$A$2:$A$69,0),r_col))</f>
        <v>100</v>
      </c>
      <c r="C16" s="6" t="s">
        <v>34</v>
      </c>
    </row>
    <row r="17" customFormat="false" ht="15" hidden="false" customHeight="false" outlineLevel="0" collapsed="false">
      <c r="A17" s="6" t="s">
        <v>67</v>
      </c>
      <c r="B17" s="17" t="n">
        <f aca="false">IF(INDEX(Measurements!$E$2:$AH$69,MATCH("wrist_l",Measurements!$A$2:$A$69,0),r_col)="","",INDEX(Measurements!$E$2:$AH$69,MATCH("wrist_l",Measurements!$A$2:$A$69,0),r_col))</f>
        <v>15</v>
      </c>
      <c r="C17" s="6" t="s">
        <v>34</v>
      </c>
    </row>
    <row r="18" customFormat="false" ht="15" hidden="false" customHeight="false" outlineLevel="0" collapsed="false">
      <c r="A18" s="6" t="s">
        <v>70</v>
      </c>
      <c r="B18" s="17" t="n">
        <f aca="false">IF(INDEX(Measurements!$E$2:$AH$69,MATCH("wrist_r",Measurements!$A$2:$A$69,0),r_col)="","",INDEX(Measurements!$E$2:$AH$69,MATCH("wrist_r",Measurements!$A$2:$A$69,0),r_col))</f>
        <v>15</v>
      </c>
      <c r="C18" s="6" t="s">
        <v>34</v>
      </c>
    </row>
    <row r="19" customFormat="false" ht="15" hidden="false" customHeight="false" outlineLevel="0" collapsed="false">
      <c r="A19" s="6" t="s">
        <v>72</v>
      </c>
      <c r="B19" s="17" t="n">
        <f aca="false">IF(INDEX(Measurements!$E$2:$AH$69,MATCH("forearm_l",Measurements!$A$2:$A$69,0),r_col)="","",INDEX(Measurements!$E$2:$AH$69,MATCH("forearm_l",Measurements!$A$2:$A$69,0),r_col))</f>
        <v>23.5</v>
      </c>
      <c r="C19" s="6" t="s">
        <v>34</v>
      </c>
    </row>
    <row r="20" customFormat="false" ht="15" hidden="false" customHeight="false" outlineLevel="0" collapsed="false">
      <c r="A20" s="6" t="s">
        <v>75</v>
      </c>
      <c r="B20" s="17" t="n">
        <f aca="false">IF(INDEX(Measurements!$E$2:$AH$69,MATCH("forearm_r",Measurements!$A$2:$A$69,0),r_col)="","",INDEX(Measurements!$E$2:$AH$69,MATCH("forearm_r",Measurements!$A$2:$A$69,0),r_col))</f>
        <v>24</v>
      </c>
      <c r="C20" s="6" t="s">
        <v>34</v>
      </c>
    </row>
    <row r="21" customFormat="false" ht="15" hidden="false" customHeight="false" outlineLevel="0" collapsed="false">
      <c r="A21" s="6" t="s">
        <v>77</v>
      </c>
      <c r="B21" s="17" t="n">
        <f aca="false">IF(INDEX(Measurements!$E$2:$AH$69,MATCH("arm_l",Measurements!$A$2:$A$69,0),r_col)="","",INDEX(Measurements!$E$2:$AH$69,MATCH("arm_l",Measurements!$A$2:$A$69,0),r_col))</f>
        <v>28</v>
      </c>
      <c r="C21" s="6" t="s">
        <v>34</v>
      </c>
    </row>
    <row r="22" customFormat="false" ht="15" hidden="false" customHeight="false" outlineLevel="0" collapsed="false">
      <c r="A22" s="6" t="s">
        <v>80</v>
      </c>
      <c r="B22" s="17" t="n">
        <f aca="false">IF(INDEX(Measurements!$E$2:$AH$69,MATCH("arm_r",Measurements!$A$2:$A$69,0),r_col)="","",INDEX(Measurements!$E$2:$AH$69,MATCH("arm_r",Measurements!$A$2:$A$69,0),r_col))</f>
        <v>28.5</v>
      </c>
      <c r="C22" s="6" t="s">
        <v>34</v>
      </c>
    </row>
    <row r="23" customFormat="false" ht="15" hidden="false" customHeight="false" outlineLevel="0" collapsed="false">
      <c r="A23" s="6" t="s">
        <v>82</v>
      </c>
      <c r="B23" s="17" t="n">
        <f aca="false">IF(INDEX(Measurements!$E$2:$AH$69,MATCH("thigh_l",Measurements!$A$2:$A$69,0),r_col)="","",INDEX(Measurements!$E$2:$AH$69,MATCH("thigh_l",Measurements!$A$2:$A$69,0),r_col))</f>
        <v>56</v>
      </c>
      <c r="C23" s="6" t="s">
        <v>34</v>
      </c>
    </row>
    <row r="24" customFormat="false" ht="15" hidden="false" customHeight="false" outlineLevel="0" collapsed="false">
      <c r="A24" s="6" t="s">
        <v>85</v>
      </c>
      <c r="B24" s="17" t="n">
        <f aca="false">IF(INDEX(Measurements!$E$2:$AH$69,MATCH("thigh_r",Measurements!$A$2:$A$69,0),r_col)="","",INDEX(Measurements!$E$2:$AH$69,MATCH("thigh_r",Measurements!$A$2:$A$69,0),r_col))</f>
        <v>56.5</v>
      </c>
      <c r="C24" s="6" t="s">
        <v>34</v>
      </c>
    </row>
    <row r="25" customFormat="false" ht="15" hidden="false" customHeight="false" outlineLevel="0" collapsed="false">
      <c r="A25" s="6" t="s">
        <v>87</v>
      </c>
      <c r="B25" s="17" t="n">
        <f aca="false">IF(INDEX(Measurements!$E$2:$AH$69,MATCH("thigh_relaxed_l",Measurements!$A$2:$A$69,0),r_col)="","",INDEX(Measurements!$E$2:$AH$69,MATCH("thigh_relaxed_l",Measurements!$A$2:$A$69,0),r_col))</f>
        <v>54</v>
      </c>
      <c r="C25" s="6" t="s">
        <v>34</v>
      </c>
    </row>
    <row r="26" customFormat="false" ht="15" hidden="false" customHeight="false" outlineLevel="0" collapsed="false">
      <c r="A26" s="6" t="s">
        <v>90</v>
      </c>
      <c r="B26" s="17" t="n">
        <f aca="false">IF(INDEX(Measurements!$E$2:$AH$69,MATCH("thigh_relaxed_r",Measurements!$A$2:$A$69,0),r_col)="","",INDEX(Measurements!$E$2:$AH$69,MATCH("thigh_relaxed_r",Measurements!$A$2:$A$69,0),r_col))</f>
        <v>54.5</v>
      </c>
      <c r="C26" s="6" t="s">
        <v>34</v>
      </c>
    </row>
    <row r="27" customFormat="false" ht="15" hidden="false" customHeight="false" outlineLevel="0" collapsed="false">
      <c r="A27" s="6" t="s">
        <v>92</v>
      </c>
      <c r="B27" s="17" t="n">
        <f aca="false">IF(INDEX(Measurements!$E$2:$AH$69,MATCH("knee_l",Measurements!$A$2:$A$69,0),r_col)="","",INDEX(Measurements!$E$2:$AH$69,MATCH("knee_l",Measurements!$A$2:$A$69,0),r_col))</f>
        <v>36</v>
      </c>
      <c r="C27" s="6" t="s">
        <v>34</v>
      </c>
    </row>
    <row r="28" customFormat="false" ht="15" hidden="false" customHeight="false" outlineLevel="0" collapsed="false">
      <c r="A28" s="6" t="s">
        <v>95</v>
      </c>
      <c r="B28" s="17" t="n">
        <f aca="false">IF(INDEX(Measurements!$E$2:$AH$69,MATCH("knee_r",Measurements!$A$2:$A$69,0),r_col)="","",INDEX(Measurements!$E$2:$AH$69,MATCH("knee_r",Measurements!$A$2:$A$69,0),r_col))</f>
        <v>36</v>
      </c>
      <c r="C28" s="6" t="s">
        <v>34</v>
      </c>
    </row>
    <row r="29" customFormat="false" ht="15" hidden="false" customHeight="false" outlineLevel="0" collapsed="false">
      <c r="A29" s="6" t="s">
        <v>97</v>
      </c>
      <c r="B29" s="17" t="n">
        <f aca="false">IF(INDEX(Measurements!$E$2:$AH$69,MATCH("calf_l",Measurements!$A$2:$A$69,0),r_col)="","",INDEX(Measurements!$E$2:$AH$69,MATCH("calf_l",Measurements!$A$2:$A$69,0),r_col))</f>
        <v>36</v>
      </c>
      <c r="C29" s="6" t="s">
        <v>34</v>
      </c>
    </row>
    <row r="30" customFormat="false" ht="15" hidden="false" customHeight="false" outlineLevel="0" collapsed="false">
      <c r="A30" s="6" t="s">
        <v>100</v>
      </c>
      <c r="B30" s="17" t="n">
        <f aca="false">IF(INDEX(Measurements!$E$2:$AH$69,MATCH("calf_r",Measurements!$A$2:$A$69,0),r_col)="","",INDEX(Measurements!$E$2:$AH$69,MATCH("calf_r",Measurements!$A$2:$A$69,0),r_col))</f>
        <v>36.5</v>
      </c>
      <c r="C30" s="6" t="s">
        <v>34</v>
      </c>
    </row>
    <row r="31" customFormat="false" ht="15" hidden="false" customHeight="false" outlineLevel="0" collapsed="false">
      <c r="A31" s="6" t="s">
        <v>102</v>
      </c>
      <c r="B31" s="17" t="n">
        <f aca="false">IF(INDEX(Measurements!$E$2:$AH$69,MATCH("calf_relaxed_l",Measurements!$A$2:$A$69,0),r_col)="","",INDEX(Measurements!$E$2:$AH$69,MATCH("calf_relaxed_l",Measurements!$A$2:$A$69,0),r_col))</f>
        <v>35</v>
      </c>
      <c r="C31" s="6" t="s">
        <v>34</v>
      </c>
    </row>
    <row r="32" customFormat="false" ht="15" hidden="false" customHeight="false" outlineLevel="0" collapsed="false">
      <c r="A32" s="6" t="s">
        <v>105</v>
      </c>
      <c r="B32" s="17" t="n">
        <f aca="false">IF(INDEX(Measurements!$E$2:$AH$69,MATCH("calf_relaxed_r",Measurements!$A$2:$A$69,0),r_col)="","",INDEX(Measurements!$E$2:$AH$69,MATCH("calf_relaxed_r",Measurements!$A$2:$A$69,0),r_col))</f>
        <v>35.5</v>
      </c>
      <c r="C32" s="6" t="s">
        <v>34</v>
      </c>
    </row>
    <row r="33" customFormat="false" ht="15" hidden="false" customHeight="false" outlineLevel="0" collapsed="false">
      <c r="A33" s="6" t="s">
        <v>107</v>
      </c>
      <c r="B33" s="17" t="n">
        <f aca="false">IF(INDEX(Measurements!$E$2:$AH$69,MATCH("ankle_l",Measurements!$A$2:$A$69,0),r_col)="","",INDEX(Measurements!$E$2:$AH$69,MATCH("ankle_l",Measurements!$A$2:$A$69,0),r_col))</f>
        <v>21</v>
      </c>
      <c r="C33" s="6" t="s">
        <v>34</v>
      </c>
    </row>
    <row r="34" customFormat="false" ht="15" hidden="false" customHeight="false" outlineLevel="0" collapsed="false">
      <c r="A34" s="6" t="s">
        <v>110</v>
      </c>
      <c r="B34" s="17" t="n">
        <f aca="false">IF(INDEX(Measurements!$E$2:$AH$69,MATCH("ankle_r",Measurements!$A$2:$A$69,0),r_col)="","",INDEX(Measurements!$E$2:$AH$69,MATCH("ankle_r",Measurements!$A$2:$A$69,0),r_col))</f>
        <v>21</v>
      </c>
      <c r="C34" s="6" t="s">
        <v>34</v>
      </c>
    </row>
    <row r="35" customFormat="false" ht="15" hidden="false" customHeight="false" outlineLevel="0" collapsed="false">
      <c r="A35" s="6" t="s">
        <v>523</v>
      </c>
      <c r="B35" s="17" t="n">
        <f aca="false">IF(COUNT(m_wrist_l,m_wrist_r)=0,"",AVERAGE(m_wrist_l,m_wrist_r))</f>
        <v>15</v>
      </c>
      <c r="C35" s="6" t="s">
        <v>744</v>
      </c>
    </row>
    <row r="36" customFormat="false" ht="15" hidden="false" customHeight="false" outlineLevel="0" collapsed="false">
      <c r="A36" s="6" t="s">
        <v>324</v>
      </c>
      <c r="B36" s="17" t="n">
        <f aca="false">IF(COUNT(m_forearm_l,m_forearm_r)=0,"",AVERAGE(m_forearm_l,m_forearm_r))</f>
        <v>23.75</v>
      </c>
      <c r="C36" s="6" t="s">
        <v>744</v>
      </c>
    </row>
    <row r="37" customFormat="false" ht="15" hidden="false" customHeight="false" outlineLevel="0" collapsed="false">
      <c r="A37" s="6" t="s">
        <v>322</v>
      </c>
      <c r="B37" s="17" t="n">
        <f aca="false">IF(COUNT(m_arm_l,m_arm_r)=0,"",AVERAGE(m_arm_l,m_arm_r))</f>
        <v>28.25</v>
      </c>
      <c r="C37" s="6" t="s">
        <v>744</v>
      </c>
    </row>
    <row r="38" customFormat="false" ht="15" hidden="false" customHeight="false" outlineLevel="0" collapsed="false">
      <c r="A38" s="6" t="s">
        <v>328</v>
      </c>
      <c r="B38" s="17" t="n">
        <f aca="false">IF(COUNT(m_thigh_l,m_thigh_r)=0,"",AVERAGE(m_thigh_l,m_thigh_r))</f>
        <v>56.25</v>
      </c>
      <c r="C38" s="6" t="s">
        <v>744</v>
      </c>
    </row>
    <row r="39" customFormat="false" ht="15" hidden="false" customHeight="false" outlineLevel="0" collapsed="false">
      <c r="A39" s="6" t="s">
        <v>558</v>
      </c>
      <c r="B39" s="17" t="n">
        <f aca="false">IF(COUNT(m_thigh_relaxed_l,m_thigh_relaxed_r)=0,"",AVERAGE(m_thigh_relaxed_l,m_thigh_relaxed_r))</f>
        <v>54.25</v>
      </c>
      <c r="C39" s="6" t="s">
        <v>744</v>
      </c>
    </row>
    <row r="40" customFormat="false" ht="15" hidden="false" customHeight="false" outlineLevel="0" collapsed="false">
      <c r="A40" s="6" t="s">
        <v>531</v>
      </c>
      <c r="B40" s="17" t="n">
        <f aca="false">IF(COUNT(m_knee_l,m_knee_r)=0,"",AVERAGE(m_knee_l,m_knee_r))</f>
        <v>36</v>
      </c>
      <c r="C40" s="6" t="s">
        <v>744</v>
      </c>
    </row>
    <row r="41" customFormat="false" ht="15" hidden="false" customHeight="false" outlineLevel="0" collapsed="false">
      <c r="A41" s="6" t="s">
        <v>330</v>
      </c>
      <c r="B41" s="17" t="n">
        <f aca="false">IF(COUNT(m_calf_l,m_calf_r)=0,"",AVERAGE(m_calf_l,m_calf_r))</f>
        <v>36.25</v>
      </c>
      <c r="C41" s="6" t="s">
        <v>744</v>
      </c>
    </row>
    <row r="42" customFormat="false" ht="15" hidden="false" customHeight="false" outlineLevel="0" collapsed="false">
      <c r="A42" s="6" t="s">
        <v>560</v>
      </c>
      <c r="B42" s="17" t="n">
        <f aca="false">IF(COUNT(m_calf_relaxed_l,m_calf_relaxed_r)=0,"",AVERAGE(m_calf_relaxed_l,m_calf_relaxed_r))</f>
        <v>35.25</v>
      </c>
      <c r="C42" s="6" t="s">
        <v>744</v>
      </c>
    </row>
    <row r="43" customFormat="false" ht="15" hidden="false" customHeight="false" outlineLevel="0" collapsed="false">
      <c r="A43" s="6" t="s">
        <v>535</v>
      </c>
      <c r="B43" s="17" t="n">
        <f aca="false">IF(COUNT(m_ankle_l,m_ankle_r)=0,"",AVERAGE(m_ankle_l,m_ankle_r))</f>
        <v>21</v>
      </c>
      <c r="C43" s="6" t="s">
        <v>744</v>
      </c>
    </row>
    <row r="45" customFormat="false" ht="16.15" hidden="false" customHeight="false" outlineLevel="0" collapsed="false">
      <c r="A45" s="11" t="s">
        <v>745</v>
      </c>
    </row>
    <row r="46" customFormat="false" ht="15" hidden="false" customHeight="false" outlineLevel="0" collapsed="false">
      <c r="A46" s="4" t="s">
        <v>746</v>
      </c>
      <c r="B46" s="4" t="s">
        <v>371</v>
      </c>
      <c r="C46" s="4" t="s">
        <v>691</v>
      </c>
    </row>
    <row r="47" customFormat="false" ht="15" hidden="false" customHeight="false" outlineLevel="0" collapsed="false">
      <c r="A47" s="6" t="s">
        <v>747</v>
      </c>
      <c r="B47" s="17" t="n">
        <f aca="false">m_weight/(m_height/100)^2</f>
        <v>24.5389649018441</v>
      </c>
      <c r="C47" s="7" t="s">
        <v>748</v>
      </c>
    </row>
    <row r="48" customFormat="false" ht="15" hidden="false" customHeight="false" outlineLevel="0" collapsed="false">
      <c r="A48" s="6" t="s">
        <v>749</v>
      </c>
      <c r="B48" s="14" t="n">
        <f aca="false">m_waist/m_height</f>
        <v>0.463414634146342</v>
      </c>
      <c r="C48" s="7" t="str">
        <f aca="false">IF(m_waist/m_height&lt;p_whtr_limit,"below the 0.5 boundary","at or above the 0.5 boundary")</f>
        <v>below the 0.5 boundary</v>
      </c>
    </row>
    <row r="49" customFormat="false" ht="15" hidden="false" customHeight="false" outlineLevel="0" collapsed="false">
      <c r="A49" s="6" t="s">
        <v>750</v>
      </c>
      <c r="B49" s="18" t="n">
        <f aca="false">(p_navy_k1/(p_navy_a-p_navy_b*LOG10(m_waist+p_navy_hip*N(m_hips)-m_neck)+p_navy_c*LOG10(m_height))-p_navy_k2)/100</f>
        <v>0.30695798750154</v>
      </c>
      <c r="C49" s="7" t="s">
        <v>751</v>
      </c>
    </row>
    <row r="50" customFormat="false" ht="15" hidden="false" customHeight="false" outlineLevel="0" collapsed="false">
      <c r="A50" s="6" t="s">
        <v>752</v>
      </c>
      <c r="B50" s="17" t="n">
        <f aca="false">m_weight*r_bf</f>
        <v>20.2592271751017</v>
      </c>
      <c r="C50" s="7"/>
    </row>
    <row r="51" customFormat="false" ht="15" hidden="false" customHeight="false" outlineLevel="0" collapsed="false">
      <c r="A51" s="6" t="s">
        <v>753</v>
      </c>
      <c r="B51" s="17" t="n">
        <f aca="false">m_weight-m_weight*r_bf</f>
        <v>45.7407728248983</v>
      </c>
      <c r="C51" s="7"/>
    </row>
    <row r="52" customFormat="false" ht="15" hidden="false" customHeight="false" outlineLevel="0" collapsed="false">
      <c r="A52" s="6" t="s">
        <v>754</v>
      </c>
      <c r="B52" s="17" t="n">
        <f aca="false">r_lbm/(m_height/100)^2</f>
        <v>17.0065336202031</v>
      </c>
      <c r="C52" s="7"/>
    </row>
    <row r="53" customFormat="false" ht="15" hidden="false" customHeight="false" outlineLevel="0" collapsed="false">
      <c r="A53" s="6" t="s">
        <v>755</v>
      </c>
      <c r="B53" s="17" t="str">
        <f aca="false">IF(p_ffmi_norm=0,"",r_lbm/(m_height/100)^2+p_ffmi_slope*(p_ffmi_ref_h-m_height/100))</f>
        <v/>
      </c>
      <c r="C53" s="7" t="s">
        <v>756</v>
      </c>
    </row>
    <row r="54" customFormat="false" ht="15" hidden="false" customHeight="false" outlineLevel="0" collapsed="false">
      <c r="A54" s="6" t="s">
        <v>757</v>
      </c>
      <c r="B54" s="17" t="n">
        <f aca="false">r_lbm/(1-p_target_bf)</f>
        <v>58.6420164421773</v>
      </c>
      <c r="C54" s="7" t="s">
        <v>758</v>
      </c>
    </row>
    <row r="55" customFormat="false" ht="15" hidden="false" customHeight="false" outlineLevel="0" collapsed="false">
      <c r="A55" s="6" t="s">
        <v>759</v>
      </c>
      <c r="B55" s="17" t="n">
        <f aca="false">m_weight-r_lbm/(1-p_target_bf)</f>
        <v>7.35798355782266</v>
      </c>
      <c r="C55" s="7"/>
    </row>
    <row r="57" customFormat="false" ht="16.15" hidden="false" customHeight="false" outlineLevel="0" collapsed="false">
      <c r="A57" s="11" t="s">
        <v>760</v>
      </c>
    </row>
    <row r="58" customFormat="false" ht="15" hidden="false" customHeight="false" outlineLevel="0" collapsed="false">
      <c r="A58" s="4" t="s">
        <v>761</v>
      </c>
      <c r="B58" s="4" t="s">
        <v>294</v>
      </c>
      <c r="C58" s="4" t="s">
        <v>762</v>
      </c>
      <c r="D58" s="4" t="s">
        <v>763</v>
      </c>
      <c r="E58" s="4" t="s">
        <v>764</v>
      </c>
    </row>
    <row r="59" customFormat="false" ht="15" hidden="false" customHeight="false" outlineLevel="0" collapsed="false">
      <c r="A59" s="6" t="s">
        <v>765</v>
      </c>
      <c r="B59" s="17" t="n">
        <f aca="false">IF(OR(IF(INDEX(Measurements!$E$2:$AH$69,MATCH("rockport_time",Measurements!$A$2:$A$69,0),r_col)="","",INDEX(Measurements!$E$2:$AH$69,MATCH("rockport_time",Measurements!$A$2:$A$69,0),r_col))="",IF(INDEX(Measurements!$E$2:$AH$69,MATCH("rockport_hr",Measurements!$A$2:$A$69,0),r_col)="","",INDEX(Measurements!$E$2:$AH$69,MATCH("rockport_hr",Measurements!$A$2:$A$69,0),r_col))=""),"",p_rock_a-p_rock_b*m_weight/p_kg_per_lb-p_rock_c*m_age+p_rock_d-p_rock_e*IF(INDEX(Measurements!$E$2:$AH$69,MATCH("rockport_time",Measurements!$A$2:$A$69,0),r_col)="","",INDEX(Measurements!$E$2:$AH$69,MATCH("rockport_time",Measurements!$A$2:$A$69,0),r_col))-p_rock_f*IF(INDEX(Measurements!$E$2:$AH$69,MATCH("rockport_hr",Measurements!$A$2:$A$69,0),r_col)="","",INDEX(Measurements!$E$2:$AH$69,MATCH("rockport_hr",Measurements!$A$2:$A$69,0),r_col)))</f>
        <v>31.1502083450687</v>
      </c>
      <c r="C59" s="6" t="s">
        <v>766</v>
      </c>
      <c r="D59" s="6" t="n">
        <f aca="false">MATCH(m_sex&amp;"|"&amp;C59&amp;"|"&amp;MIN(80,MAX(20,INT(m_age/10)*10)),t_friend_keys,0)</f>
        <v>16</v>
      </c>
      <c r="E59" s="19" t="n">
        <f aca="false">IF(B59="","",MAX(1,MIN(99,10*(MIN(8,IFERROR(MATCH(B59,INDEX(t_friend_vals,D59,0),1),1))+(B59-INDEX(t_friend_vals,D59,MIN(8,IFERROR(MATCH(B59,INDEX(t_friend_vals,D59,0),1),1))))/(INDEX(t_friend_vals,D59,MIN(8,IFERROR(MATCH(B59,INDEX(t_friend_vals,D59,0),1),1))+1)-INDEX(t_friend_vals,D59,MIN(8,IFERROR(MATCH(B59,INDEX(t_friend_vals,D59,0),1),1))))))))</f>
        <v>60.5777244041105</v>
      </c>
    </row>
    <row r="60" customFormat="false" ht="15" hidden="false" customHeight="false" outlineLevel="0" collapsed="false">
      <c r="A60" s="6" t="s">
        <v>767</v>
      </c>
      <c r="B60" s="17" t="str">
        <f aca="false">IF(IF(INDEX(Measurements!$E$2:$AH$69,MATCH("cooper_distance",Measurements!$A$2:$A$69,0),r_col)="","",INDEX(Measurements!$E$2:$AH$69,MATCH("cooper_distance",Measurements!$A$2:$A$69,0),r_col))="","",(IF(INDEX(Measurements!$E$2:$AH$69,MATCH("cooper_distance",Measurements!$A$2:$A$69,0),r_col)="","",INDEX(Measurements!$E$2:$AH$69,MATCH("cooper_distance",Measurements!$A$2:$A$69,0),r_col))-p_cooper_a)/p_cooper_b)</f>
        <v/>
      </c>
      <c r="C60" s="6" t="s">
        <v>766</v>
      </c>
      <c r="D60" s="6" t="n">
        <f aca="false">MATCH(m_sex&amp;"|"&amp;C60&amp;"|"&amp;MIN(80,MAX(20,INT(m_age/10)*10)),t_friend_keys,0)</f>
        <v>16</v>
      </c>
      <c r="E60" s="19" t="str">
        <f aca="false">IF(B60="","",MAX(1,MIN(99,10*(MIN(8,IFERROR(MATCH(B60,INDEX(t_friend_vals,D60,0),1),1))+(B60-INDEX(t_friend_vals,D60,MIN(8,IFERROR(MATCH(B60,INDEX(t_friend_vals,D60,0),1),1))))/(INDEX(t_friend_vals,D60,MIN(8,IFERROR(MATCH(B60,INDEX(t_friend_vals,D60,0),1),1))+1)-INDEX(t_friend_vals,D60,MIN(8,IFERROR(MATCH(B60,INDEX(t_friend_vals,D60,0),1),1))))))))</f>
        <v/>
      </c>
    </row>
    <row r="61" customFormat="false" ht="15" hidden="false" customHeight="false" outlineLevel="0" collapsed="false">
      <c r="A61" s="6" t="s">
        <v>768</v>
      </c>
      <c r="B61" s="17" t="str">
        <f aca="false">IF(OR(IF(INDEX(Measurements!$E$2:$AH$69,MATCH("run_distance",Measurements!$A$2:$A$69,0),r_col)="","",INDEX(Measurements!$E$2:$AH$69,MATCH("run_distance",Measurements!$A$2:$A$69,0),r_col))="",IF(INDEX(Measurements!$E$2:$AH$69,MATCH("run_time",Measurements!$A$2:$A$69,0),r_col)="","",INDEX(Measurements!$E$2:$AH$69,MATCH("run_time",Measurements!$A$2:$A$69,0),r_col))=""),"",(p_vdot_a+p_vdot_b*(IF(INDEX(Measurements!$E$2:$AH$69,MATCH("run_distance",Measurements!$A$2:$A$69,0),r_col)="","",INDEX(Measurements!$E$2:$AH$69,MATCH("run_distance",Measurements!$A$2:$A$69,0),r_col))/IF(INDEX(Measurements!$E$2:$AH$69,MATCH("run_time",Measurements!$A$2:$A$69,0),r_col)="","",INDEX(Measurements!$E$2:$AH$69,MATCH("run_time",Measurements!$A$2:$A$69,0),r_col)))+p_vdot_c*(IF(INDEX(Measurements!$E$2:$AH$69,MATCH("run_distance",Measurements!$A$2:$A$69,0),r_col)="","",INDEX(Measurements!$E$2:$AH$69,MATCH("run_distance",Measurements!$A$2:$A$69,0),r_col))/IF(INDEX(Measurements!$E$2:$AH$69,MATCH("run_time",Measurements!$A$2:$A$69,0),r_col)="","",INDEX(Measurements!$E$2:$AH$69,MATCH("run_time",Measurements!$A$2:$A$69,0),r_col)))^2)/(p_vdot_d+p_vdot_e*EXP(-p_vdot_f*IF(INDEX(Measurements!$E$2:$AH$69,MATCH("run_time",Measurements!$A$2:$A$69,0),r_col)="","",INDEX(Measurements!$E$2:$AH$69,MATCH("run_time",Measurements!$A$2:$A$69,0),r_col)))+p_vdot_g*EXP(-p_vdot_h*IF(INDEX(Measurements!$E$2:$AH$69,MATCH("run_time",Measurements!$A$2:$A$69,0),r_col)="","",INDEX(Measurements!$E$2:$AH$69,MATCH("run_time",Measurements!$A$2:$A$69,0),r_col)))))</f>
        <v/>
      </c>
      <c r="C61" s="6" t="s">
        <v>766</v>
      </c>
      <c r="D61" s="6" t="n">
        <f aca="false">MATCH(m_sex&amp;"|"&amp;C61&amp;"|"&amp;MIN(80,MAX(20,INT(m_age/10)*10)),t_friend_keys,0)</f>
        <v>16</v>
      </c>
      <c r="E61" s="19" t="str">
        <f aca="false">IF(B61="","",MAX(1,MIN(99,10*(MIN(8,IFERROR(MATCH(B61,INDEX(t_friend_vals,D61,0),1),1))+(B61-INDEX(t_friend_vals,D61,MIN(8,IFERROR(MATCH(B61,INDEX(t_friend_vals,D61,0),1),1))))/(INDEX(t_friend_vals,D61,MIN(8,IFERROR(MATCH(B61,INDEX(t_friend_vals,D61,0),1),1))+1)-INDEX(t_friend_vals,D61,MIN(8,IFERROR(MATCH(B61,INDEX(t_friend_vals,D61,0),1),1))))))))</f>
        <v/>
      </c>
    </row>
    <row r="62" customFormat="false" ht="15" hidden="false" customHeight="false" outlineLevel="0" collapsed="false">
      <c r="A62" s="6" t="s">
        <v>769</v>
      </c>
      <c r="B62" s="17" t="str">
        <f aca="false">IF(IF(INDEX(Measurements!$E$2:$AH$69,MATCH("cycle_watts",Measurements!$A$2:$A$69,0),r_col)="","",INDEX(Measurements!$E$2:$AH$69,MATCH("cycle_watts",Measurements!$A$2:$A$69,0),r_col))="","",p_cyc_a*IF(INDEX(Measurements!$E$2:$AH$69,MATCH("cycle_watts",Measurements!$A$2:$A$69,0),r_col)="","",INDEX(Measurements!$E$2:$AH$69,MATCH("cycle_watts",Measurements!$A$2:$A$69,0),r_col))/m_weight+p_cyc_b)</f>
        <v/>
      </c>
      <c r="C62" s="6" t="s">
        <v>770</v>
      </c>
      <c r="D62" s="6" t="n">
        <f aca="false">MATCH(m_sex&amp;"|"&amp;C62&amp;"|"&amp;MIN(80,MAX(20,INT(m_age/10)*10)),t_friend_keys,0)</f>
        <v>23</v>
      </c>
      <c r="E62" s="19" t="str">
        <f aca="false">IF(B62="","",MAX(1,MIN(99,10*(MIN(8,IFERROR(MATCH(B62,INDEX(t_friend_vals,D62,0),1),1))+(B62-INDEX(t_friend_vals,D62,MIN(8,IFERROR(MATCH(B62,INDEX(t_friend_vals,D62,0),1),1))))/(INDEX(t_friend_vals,D62,MIN(8,IFERROR(MATCH(B62,INDEX(t_friend_vals,D62,0),1),1))+1)-INDEX(t_friend_vals,D62,MIN(8,IFERROR(MATCH(B62,INDEX(t_friend_vals,D62,0),1),1))))))))</f>
        <v/>
      </c>
    </row>
    <row r="63" customFormat="false" ht="15" hidden="false" customHeight="false" outlineLevel="0" collapsed="false">
      <c r="A63" s="12" t="s">
        <v>771</v>
      </c>
      <c r="B63" s="17" t="n">
        <f aca="false">IF(COUNT(B59:B62)=0,"",AVERAGE(B59:B62))</f>
        <v>31.1502083450687</v>
      </c>
    </row>
    <row r="64" customFormat="false" ht="15" hidden="false" customHeight="false" outlineLevel="0" collapsed="false">
      <c r="A64" s="12" t="s">
        <v>772</v>
      </c>
      <c r="B64" s="19" t="n">
        <f aca="false">IF(COUNT(E59:E62)=0,"",AVERAGE(E59:E62))</f>
        <v>60.5777244041105</v>
      </c>
    </row>
    <row r="65" customFormat="false" ht="15" hidden="false" customHeight="false" outlineLevel="0" collapsed="false">
      <c r="A65" s="7" t="s">
        <v>773</v>
      </c>
    </row>
    <row r="67" customFormat="false" ht="16.15" hidden="false" customHeight="false" outlineLevel="0" collapsed="false">
      <c r="A67" s="11" t="s">
        <v>774</v>
      </c>
    </row>
    <row r="68" customFormat="false" ht="15" hidden="false" customHeight="false" outlineLevel="0" collapsed="false">
      <c r="A68" s="4" t="s">
        <v>377</v>
      </c>
      <c r="B68" s="4" t="s">
        <v>520</v>
      </c>
      <c r="C68" s="4" t="s">
        <v>775</v>
      </c>
      <c r="D68" s="4" t="s">
        <v>521</v>
      </c>
      <c r="E68" s="4" t="s">
        <v>776</v>
      </c>
      <c r="F68" s="4" t="s">
        <v>777</v>
      </c>
      <c r="G68" s="4" t="s">
        <v>778</v>
      </c>
      <c r="H68" s="4" t="s">
        <v>779</v>
      </c>
    </row>
    <row r="69" customFormat="false" ht="15" hidden="false" customHeight="false" outlineLevel="0" collapsed="false">
      <c r="A69" s="6" t="str">
        <f aca="false">Parameters!$A$77</f>
        <v>arm_wrist</v>
      </c>
      <c r="B69" s="6" t="str">
        <f aca="false">Parameters!$D$77</f>
        <v>upper</v>
      </c>
      <c r="C69" s="14" t="str">
        <f aca="false">IF(AND(Parameters!$G$77&lt;&gt;"both",Parameters!$G$77&lt;&gt;m_sex),"",IF(OR(INDEX($B$7:$B$43,MATCH(Parameters!$B$77,$A$7:$A$43,0))="",INDEX($B$7:$B$43,MATCH(Parameters!$C$77,$A$7:$A$43,0))=""),"",INDEX($B$7:$B$43,MATCH(Parameters!$B$77,$A$7:$A$43,0))/INDEX($B$7:$B$43,MATCH(Parameters!$C$77,$A$7:$A$43,0))))</f>
        <v/>
      </c>
      <c r="D69" s="14" t="n">
        <f aca="false">Parameters!$E$77</f>
        <v>2.52</v>
      </c>
      <c r="E69" s="24" t="str">
        <f aca="false">IF(C69="","",C69/D69-1)</f>
        <v/>
      </c>
      <c r="F69" s="25" t="str">
        <f aca="false">IF(C69="","",LN(C69/D69))</f>
        <v/>
      </c>
      <c r="G69" s="17" t="str">
        <f aca="false">IF(C69="","",INDEX($B$7:$B$43,MATCH(Parameters!$B$77,$A$7:$A$43,0)))</f>
        <v/>
      </c>
      <c r="H69" s="17" t="str">
        <f aca="false">IF(C69="","",D69*INDEX($B$7:$B$43,MATCH(Parameters!$C$77,$A$7:$A$43,0)))</f>
        <v/>
      </c>
    </row>
    <row r="70" customFormat="false" ht="15" hidden="false" customHeight="false" outlineLevel="0" collapsed="false">
      <c r="A70" s="6" t="str">
        <f aca="false">Parameters!$A$78</f>
        <v>forearm_wrist</v>
      </c>
      <c r="B70" s="6" t="str">
        <f aca="false">Parameters!$D$78</f>
        <v>upper</v>
      </c>
      <c r="C70" s="14" t="str">
        <f aca="false">IF(AND(Parameters!$G$78&lt;&gt;"both",Parameters!$G$78&lt;&gt;m_sex),"",IF(OR(INDEX($B$7:$B$43,MATCH(Parameters!$B$78,$A$7:$A$43,0))="",INDEX($B$7:$B$43,MATCH(Parameters!$C$78,$A$7:$A$43,0))=""),"",INDEX($B$7:$B$43,MATCH(Parameters!$B$78,$A$7:$A$43,0))/INDEX($B$7:$B$43,MATCH(Parameters!$C$78,$A$7:$A$43,0))))</f>
        <v/>
      </c>
      <c r="D70" s="14" t="n">
        <f aca="false">Parameters!$E$78</f>
        <v>1.885</v>
      </c>
      <c r="E70" s="24" t="str">
        <f aca="false">IF(C70="","",C70/D70-1)</f>
        <v/>
      </c>
      <c r="F70" s="25" t="str">
        <f aca="false">IF(C70="","",LN(C70/D70))</f>
        <v/>
      </c>
      <c r="G70" s="17" t="str">
        <f aca="false">IF(C70="","",INDEX($B$7:$B$43,MATCH(Parameters!$B$78,$A$7:$A$43,0)))</f>
        <v/>
      </c>
      <c r="H70" s="17" t="str">
        <f aca="false">IF(C70="","",D70*INDEX($B$7:$B$43,MATCH(Parameters!$C$78,$A$7:$A$43,0)))</f>
        <v/>
      </c>
    </row>
    <row r="71" customFormat="false" ht="15" hidden="false" customHeight="false" outlineLevel="0" collapsed="false">
      <c r="A71" s="6" t="str">
        <f aca="false">Parameters!$A$79</f>
        <v>chest_wrist</v>
      </c>
      <c r="B71" s="6" t="str">
        <f aca="false">Parameters!$D$79</f>
        <v>upper</v>
      </c>
      <c r="C71" s="14" t="str">
        <f aca="false">IF(AND(Parameters!$G$79&lt;&gt;"both",Parameters!$G$79&lt;&gt;m_sex),"",IF(OR(INDEX($B$7:$B$43,MATCH(Parameters!$B$79,$A$7:$A$43,0))="",INDEX($B$7:$B$43,MATCH(Parameters!$C$79,$A$7:$A$43,0))=""),"",INDEX($B$7:$B$43,MATCH(Parameters!$B$79,$A$7:$A$43,0))/INDEX($B$7:$B$43,MATCH(Parameters!$C$79,$A$7:$A$43,0))))</f>
        <v/>
      </c>
      <c r="D71" s="14" t="n">
        <f aca="false">Parameters!$E$79</f>
        <v>6.5</v>
      </c>
      <c r="E71" s="24" t="str">
        <f aca="false">IF(C71="","",C71/D71-1)</f>
        <v/>
      </c>
      <c r="F71" s="25" t="str">
        <f aca="false">IF(C71="","",LN(C71/D71))</f>
        <v/>
      </c>
      <c r="G71" s="17" t="str">
        <f aca="false">IF(C71="","",INDEX($B$7:$B$43,MATCH(Parameters!$B$79,$A$7:$A$43,0)))</f>
        <v/>
      </c>
      <c r="H71" s="17" t="str">
        <f aca="false">IF(C71="","",D71*INDEX($B$7:$B$43,MATCH(Parameters!$C$79,$A$7:$A$43,0)))</f>
        <v/>
      </c>
    </row>
    <row r="72" customFormat="false" ht="15" hidden="false" customHeight="false" outlineLevel="0" collapsed="false">
      <c r="A72" s="6" t="str">
        <f aca="false">Parameters!$A$80</f>
        <v>thigh_knee</v>
      </c>
      <c r="B72" s="6" t="str">
        <f aca="false">Parameters!$D$80</f>
        <v>lower</v>
      </c>
      <c r="C72" s="14" t="str">
        <f aca="false">IF(AND(Parameters!$G$80&lt;&gt;"both",Parameters!$G$80&lt;&gt;m_sex),"",IF(OR(INDEX($B$7:$B$43,MATCH(Parameters!$B$80,$A$7:$A$43,0))="",INDEX($B$7:$B$43,MATCH(Parameters!$C$80,$A$7:$A$43,0))=""),"",INDEX($B$7:$B$43,MATCH(Parameters!$B$80,$A$7:$A$43,0))/INDEX($B$7:$B$43,MATCH(Parameters!$C$80,$A$7:$A$43,0))))</f>
        <v/>
      </c>
      <c r="D72" s="14" t="n">
        <f aca="false">Parameters!$E$80</f>
        <v>1.75</v>
      </c>
      <c r="E72" s="24" t="str">
        <f aca="false">IF(C72="","",C72/D72-1)</f>
        <v/>
      </c>
      <c r="F72" s="25" t="str">
        <f aca="false">IF(C72="","",LN(C72/D72))</f>
        <v/>
      </c>
      <c r="G72" s="17" t="str">
        <f aca="false">IF(C72="","",INDEX($B$7:$B$43,MATCH(Parameters!$B$80,$A$7:$A$43,0)))</f>
        <v/>
      </c>
      <c r="H72" s="17" t="str">
        <f aca="false">IF(C72="","",D72*INDEX($B$7:$B$43,MATCH(Parameters!$C$80,$A$7:$A$43,0)))</f>
        <v/>
      </c>
    </row>
    <row r="73" customFormat="false" ht="15" hidden="false" customHeight="false" outlineLevel="0" collapsed="false">
      <c r="A73" s="6" t="str">
        <f aca="false">Parameters!$A$81</f>
        <v>calf_ankle</v>
      </c>
      <c r="B73" s="6" t="str">
        <f aca="false">Parameters!$D$81</f>
        <v>lower</v>
      </c>
      <c r="C73" s="14" t="str">
        <f aca="false">IF(AND(Parameters!$G$81&lt;&gt;"both",Parameters!$G$81&lt;&gt;m_sex),"",IF(OR(INDEX($B$7:$B$43,MATCH(Parameters!$B$81,$A$7:$A$43,0))="",INDEX($B$7:$B$43,MATCH(Parameters!$C$81,$A$7:$A$43,0))=""),"",INDEX($B$7:$B$43,MATCH(Parameters!$B$81,$A$7:$A$43,0))/INDEX($B$7:$B$43,MATCH(Parameters!$C$81,$A$7:$A$43,0))))</f>
        <v/>
      </c>
      <c r="D73" s="14" t="n">
        <f aca="false">Parameters!$E$81</f>
        <v>1.92</v>
      </c>
      <c r="E73" s="24" t="str">
        <f aca="false">IF(C73="","",C73/D73-1)</f>
        <v/>
      </c>
      <c r="F73" s="25" t="str">
        <f aca="false">IF(C73="","",LN(C73/D73))</f>
        <v/>
      </c>
      <c r="G73" s="17" t="str">
        <f aca="false">IF(C73="","",INDEX($B$7:$B$43,MATCH(Parameters!$B$81,$A$7:$A$43,0)))</f>
        <v/>
      </c>
      <c r="H73" s="17" t="str">
        <f aca="false">IF(C73="","",D73*INDEX($B$7:$B$43,MATCH(Parameters!$C$81,$A$7:$A$43,0)))</f>
        <v/>
      </c>
    </row>
    <row r="74" customFormat="false" ht="15" hidden="false" customHeight="false" outlineLevel="0" collapsed="false">
      <c r="A74" s="6" t="str">
        <f aca="false">Parameters!$A$82</f>
        <v>shoulders_chest</v>
      </c>
      <c r="B74" s="6" t="str">
        <f aca="false">Parameters!$D$82</f>
        <v>shape</v>
      </c>
      <c r="C74" s="14" t="str">
        <f aca="false">IF(AND(Parameters!$G$82&lt;&gt;"both",Parameters!$G$82&lt;&gt;m_sex),"",IF(OR(INDEX($B$7:$B$43,MATCH(Parameters!$B$82,$A$7:$A$43,0))="",INDEX($B$7:$B$43,MATCH(Parameters!$C$82,$A$7:$A$43,0))=""),"",INDEX($B$7:$B$43,MATCH(Parameters!$B$82,$A$7:$A$43,0))/INDEX($B$7:$B$43,MATCH(Parameters!$C$82,$A$7:$A$43,0))))</f>
        <v/>
      </c>
      <c r="D74" s="14" t="n">
        <f aca="false">Parameters!$E$82</f>
        <v>1.133</v>
      </c>
      <c r="E74" s="24" t="str">
        <f aca="false">IF(C74="","",C74/D74-1)</f>
        <v/>
      </c>
      <c r="F74" s="25" t="str">
        <f aca="false">IF(C74="","",LN(C74/D74))</f>
        <v/>
      </c>
      <c r="G74" s="17" t="str">
        <f aca="false">IF(C74="","",INDEX($B$7:$B$43,MATCH(Parameters!$B$82,$A$7:$A$43,0)))</f>
        <v/>
      </c>
      <c r="H74" s="17" t="str">
        <f aca="false">IF(C74="","",D74*INDEX($B$7:$B$43,MATCH(Parameters!$C$82,$A$7:$A$43,0)))</f>
        <v/>
      </c>
    </row>
    <row r="75" customFormat="false" ht="15" hidden="false" customHeight="false" outlineLevel="0" collapsed="false">
      <c r="A75" s="6" t="str">
        <f aca="false">Parameters!$A$83</f>
        <v>neck_arm</v>
      </c>
      <c r="B75" s="6" t="str">
        <f aca="false">Parameters!$D$83</f>
        <v>shape</v>
      </c>
      <c r="C75" s="14" t="str">
        <f aca="false">IF(AND(Parameters!$G$83&lt;&gt;"both",Parameters!$G$83&lt;&gt;m_sex),"",IF(OR(INDEX($B$7:$B$43,MATCH(Parameters!$B$83,$A$7:$A$43,0))="",INDEX($B$7:$B$43,MATCH(Parameters!$C$83,$A$7:$A$43,0))=""),"",INDEX($B$7:$B$43,MATCH(Parameters!$B$83,$A$7:$A$43,0))/INDEX($B$7:$B$43,MATCH(Parameters!$C$83,$A$7:$A$43,0))))</f>
        <v/>
      </c>
      <c r="D75" s="14" t="n">
        <f aca="false">Parameters!$E$83</f>
        <v>1</v>
      </c>
      <c r="E75" s="24" t="str">
        <f aca="false">IF(C75="","",C75/D75-1)</f>
        <v/>
      </c>
      <c r="F75" s="25" t="str">
        <f aca="false">IF(C75="","",LN(C75/D75))</f>
        <v/>
      </c>
      <c r="G75" s="17" t="str">
        <f aca="false">IF(C75="","",INDEX($B$7:$B$43,MATCH(Parameters!$B$83,$A$7:$A$43,0)))</f>
        <v/>
      </c>
      <c r="H75" s="17" t="str">
        <f aca="false">IF(C75="","",D75*INDEX($B$7:$B$43,MATCH(Parameters!$C$83,$A$7:$A$43,0)))</f>
        <v/>
      </c>
    </row>
    <row r="76" customFormat="false" ht="15" hidden="false" customHeight="false" outlineLevel="0" collapsed="false">
      <c r="A76" s="6" t="str">
        <f aca="false">Parameters!$A$84</f>
        <v>hips_height</v>
      </c>
      <c r="B76" s="6" t="str">
        <f aca="false">Parameters!$D$84</f>
        <v>shape</v>
      </c>
      <c r="C76" s="14" t="n">
        <f aca="false">IF(AND(Parameters!$G$84&lt;&gt;"both",Parameters!$G$84&lt;&gt;m_sex),"",IF(OR(INDEX($B$7:$B$43,MATCH(Parameters!$B$84,$A$7:$A$43,0))="",INDEX($B$7:$B$43,MATCH(Parameters!$C$84,$A$7:$A$43,0))=""),"",INDEX($B$7:$B$43,MATCH(Parameters!$B$84,$A$7:$A$43,0))/INDEX($B$7:$B$43,MATCH(Parameters!$C$84,$A$7:$A$43,0))))</f>
        <v>0.609756097560976</v>
      </c>
      <c r="D76" s="14" t="n">
        <f aca="false">Parameters!$E$84</f>
        <v>0.642857142857143</v>
      </c>
      <c r="E76" s="24" t="n">
        <f aca="false">IF(C76="","",C76/D76-1)</f>
        <v>-0.0514905149051491</v>
      </c>
      <c r="F76" s="25" t="n">
        <f aca="false">IF(C76="","",LN(C76/D76))</f>
        <v>-0.0528634895570679</v>
      </c>
      <c r="G76" s="17" t="n">
        <f aca="false">IF(C76="","",INDEX($B$7:$B$43,MATCH(Parameters!$B$84,$A$7:$A$43,0)))</f>
        <v>100</v>
      </c>
      <c r="H76" s="17" t="n">
        <f aca="false">IF(C76="","",D76*INDEX($B$7:$B$43,MATCH(Parameters!$C$84,$A$7:$A$43,0)))</f>
        <v>105.428571428571</v>
      </c>
    </row>
    <row r="77" customFormat="false" ht="15" hidden="false" customHeight="false" outlineLevel="0" collapsed="false">
      <c r="A77" s="6" t="str">
        <f aca="false">Parameters!$A$85</f>
        <v>shoulders_hips</v>
      </c>
      <c r="B77" s="6" t="str">
        <f aca="false">Parameters!$D$85</f>
        <v>shape</v>
      </c>
      <c r="C77" s="14" t="n">
        <f aca="false">IF(AND(Parameters!$G$85&lt;&gt;"both",Parameters!$G$85&lt;&gt;m_sex),"",IF(OR(INDEX($B$7:$B$43,MATCH(Parameters!$B$85,$A$7:$A$43,0))="",INDEX($B$7:$B$43,MATCH(Parameters!$C$85,$A$7:$A$43,0))=""),"",INDEX($B$7:$B$43,MATCH(Parameters!$B$85,$A$7:$A$43,0))/INDEX($B$7:$B$43,MATCH(Parameters!$C$85,$A$7:$A$43,0))))</f>
        <v>1.02</v>
      </c>
      <c r="D77" s="14" t="n">
        <f aca="false">Parameters!$E$85</f>
        <v>1</v>
      </c>
      <c r="E77" s="24" t="n">
        <f aca="false">IF(C77="","",C77/D77-1)</f>
        <v>0.02</v>
      </c>
      <c r="F77" s="25" t="n">
        <f aca="false">IF(C77="","",LN(C77/D77))</f>
        <v>0.0198026272961797</v>
      </c>
      <c r="G77" s="17" t="n">
        <f aca="false">IF(C77="","",INDEX($B$7:$B$43,MATCH(Parameters!$B$85,$A$7:$A$43,0)))</f>
        <v>102</v>
      </c>
      <c r="H77" s="17" t="n">
        <f aca="false">IF(C77="","",D77*INDEX($B$7:$B$43,MATCH(Parameters!$C$85,$A$7:$A$43,0)))</f>
        <v>100</v>
      </c>
    </row>
    <row r="78" customFormat="false" ht="15" hidden="false" customHeight="false" outlineLevel="0" collapsed="false">
      <c r="A78" s="12" t="s">
        <v>780</v>
      </c>
      <c r="B78" s="18" t="n">
        <f aca="false">IF(COUNT($F$69:$F$77)=0,"",EXP(SQRT(SUMSQ($F$69:$F$77)/COUNT($F$69:$F$77)))-1)</f>
        <v>0.0407241219253556</v>
      </c>
      <c r="C78" s="7" t="s">
        <v>781</v>
      </c>
    </row>
    <row r="79" customFormat="false" ht="15" hidden="false" customHeight="false" outlineLevel="0" collapsed="false">
      <c r="A79" s="12" t="s">
        <v>782</v>
      </c>
      <c r="B79" s="24" t="str">
        <f aca="false">IF(OR(COUNTIFS($B$69:$B$77,"upper",$F$69:$F$77,"&gt;-100")=0,COUNTIFS($B$69:$B$77,"lower",$F$69:$F$77,"&gt;-100")=0),"",EXP(AVERAGEIF($B$69:$B$77,"upper",$F$69:$F$77)-AVERAGEIF($B$69:$B$77,"lower",$F$69:$F$77))-1)</f>
        <v/>
      </c>
      <c r="C79" s="7" t="s">
        <v>783</v>
      </c>
    </row>
    <row r="80" customFormat="false" ht="15" hidden="false" customHeight="false" outlineLevel="0" collapsed="false">
      <c r="A80" s="7" t="s">
        <v>784</v>
      </c>
    </row>
    <row r="82" customFormat="false" ht="16.15" hidden="false" customHeight="false" outlineLevel="0" collapsed="false">
      <c r="A82" s="11" t="s">
        <v>785</v>
      </c>
    </row>
    <row r="83" customFormat="false" ht="15" hidden="false" customHeight="false" outlineLevel="0" collapsed="false">
      <c r="A83" s="4" t="s">
        <v>547</v>
      </c>
      <c r="B83" s="4" t="s">
        <v>786</v>
      </c>
      <c r="C83" s="4" t="s">
        <v>787</v>
      </c>
      <c r="D83" s="4" t="s">
        <v>788</v>
      </c>
      <c r="E83" s="4" t="s">
        <v>789</v>
      </c>
      <c r="F83" s="4" t="s">
        <v>790</v>
      </c>
    </row>
    <row r="84" customFormat="false" ht="15" hidden="false" customHeight="false" outlineLevel="0" collapsed="false">
      <c r="A84" s="6" t="s">
        <v>791</v>
      </c>
      <c r="B84" s="17" t="n">
        <f aca="false">m_wrist_l</f>
        <v>15</v>
      </c>
      <c r="C84" s="17" t="n">
        <f aca="false">m_wrist_r</f>
        <v>15</v>
      </c>
      <c r="D84" s="26" t="n">
        <f aca="false">IF(COUNT(B84:C84)&lt;2,"",C84-B84)</f>
        <v>0</v>
      </c>
      <c r="E84" s="18" t="n">
        <f aca="false">IF(D84="","",ABS(D84)/AVERAGE(B84:C84))</f>
        <v>0</v>
      </c>
      <c r="F84" s="6" t="str">
        <f aca="false">IF(D84="","",IF(ABS(D84)&gt;p_lr_tol_cm,"beyond tape error","within tape error"))</f>
        <v>within tape error</v>
      </c>
    </row>
    <row r="85" customFormat="false" ht="15" hidden="false" customHeight="false" outlineLevel="0" collapsed="false">
      <c r="A85" s="6" t="s">
        <v>792</v>
      </c>
      <c r="B85" s="17" t="n">
        <f aca="false">m_forearm_l</f>
        <v>23.5</v>
      </c>
      <c r="C85" s="17" t="n">
        <f aca="false">m_forearm_r</f>
        <v>24</v>
      </c>
      <c r="D85" s="26" t="n">
        <f aca="false">IF(COUNT(B85:C85)&lt;2,"",C85-B85)</f>
        <v>0.5</v>
      </c>
      <c r="E85" s="18" t="n">
        <f aca="false">IF(D85="","",ABS(D85)/AVERAGE(B85:C85))</f>
        <v>0.0210526315789474</v>
      </c>
      <c r="F85" s="6" t="str">
        <f aca="false">IF(D85="","",IF(ABS(D85)&gt;p_lr_tol_cm,"beyond tape error","within tape error"))</f>
        <v>within tape error</v>
      </c>
    </row>
    <row r="86" customFormat="false" ht="15" hidden="false" customHeight="false" outlineLevel="0" collapsed="false">
      <c r="A86" s="6" t="s">
        <v>793</v>
      </c>
      <c r="B86" s="17" t="n">
        <f aca="false">m_arm_l</f>
        <v>28</v>
      </c>
      <c r="C86" s="17" t="n">
        <f aca="false">m_arm_r</f>
        <v>28.5</v>
      </c>
      <c r="D86" s="26" t="n">
        <f aca="false">IF(COUNT(B86:C86)&lt;2,"",C86-B86)</f>
        <v>0.5</v>
      </c>
      <c r="E86" s="18" t="n">
        <f aca="false">IF(D86="","",ABS(D86)/AVERAGE(B86:C86))</f>
        <v>0.0176991150442478</v>
      </c>
      <c r="F86" s="6" t="str">
        <f aca="false">IF(D86="","",IF(ABS(D86)&gt;p_lr_tol_cm,"beyond tape error","within tape error"))</f>
        <v>within tape error</v>
      </c>
    </row>
    <row r="87" customFormat="false" ht="15" hidden="false" customHeight="false" outlineLevel="0" collapsed="false">
      <c r="A87" s="6" t="s">
        <v>794</v>
      </c>
      <c r="B87" s="17" t="n">
        <f aca="false">m_thigh_l</f>
        <v>56</v>
      </c>
      <c r="C87" s="17" t="n">
        <f aca="false">m_thigh_r</f>
        <v>56.5</v>
      </c>
      <c r="D87" s="26" t="n">
        <f aca="false">IF(COUNT(B87:C87)&lt;2,"",C87-B87)</f>
        <v>0.5</v>
      </c>
      <c r="E87" s="18" t="n">
        <f aca="false">IF(D87="","",ABS(D87)/AVERAGE(B87:C87))</f>
        <v>0.00888888888888889</v>
      </c>
      <c r="F87" s="6" t="str">
        <f aca="false">IF(D87="","",IF(ABS(D87)&gt;p_lr_tol_cm,"beyond tape error","within tape error"))</f>
        <v>within tape error</v>
      </c>
    </row>
    <row r="88" customFormat="false" ht="15" hidden="false" customHeight="false" outlineLevel="0" collapsed="false">
      <c r="A88" s="6" t="s">
        <v>795</v>
      </c>
      <c r="B88" s="17" t="n">
        <f aca="false">m_thigh_relaxed_l</f>
        <v>54</v>
      </c>
      <c r="C88" s="17" t="n">
        <f aca="false">m_thigh_relaxed_r</f>
        <v>54.5</v>
      </c>
      <c r="D88" s="26" t="n">
        <f aca="false">IF(COUNT(B88:C88)&lt;2,"",C88-B88)</f>
        <v>0.5</v>
      </c>
      <c r="E88" s="18" t="n">
        <f aca="false">IF(D88="","",ABS(D88)/AVERAGE(B88:C88))</f>
        <v>0.00921658986175115</v>
      </c>
      <c r="F88" s="6" t="str">
        <f aca="false">IF(D88="","",IF(ABS(D88)&gt;p_lr_tol_cm,"beyond tape error","within tape error"))</f>
        <v>within tape error</v>
      </c>
    </row>
    <row r="89" customFormat="false" ht="15" hidden="false" customHeight="false" outlineLevel="0" collapsed="false">
      <c r="A89" s="6" t="s">
        <v>796</v>
      </c>
      <c r="B89" s="17" t="n">
        <f aca="false">m_knee_l</f>
        <v>36</v>
      </c>
      <c r="C89" s="17" t="n">
        <f aca="false">m_knee_r</f>
        <v>36</v>
      </c>
      <c r="D89" s="26" t="n">
        <f aca="false">IF(COUNT(B89:C89)&lt;2,"",C89-B89)</f>
        <v>0</v>
      </c>
      <c r="E89" s="18" t="n">
        <f aca="false">IF(D89="","",ABS(D89)/AVERAGE(B89:C89))</f>
        <v>0</v>
      </c>
      <c r="F89" s="6" t="str">
        <f aca="false">IF(D89="","",IF(ABS(D89)&gt;p_lr_tol_cm,"beyond tape error","within tape error"))</f>
        <v>within tape error</v>
      </c>
    </row>
    <row r="90" customFormat="false" ht="15" hidden="false" customHeight="false" outlineLevel="0" collapsed="false">
      <c r="A90" s="6" t="s">
        <v>797</v>
      </c>
      <c r="B90" s="17" t="n">
        <f aca="false">m_calf_l</f>
        <v>36</v>
      </c>
      <c r="C90" s="17" t="n">
        <f aca="false">m_calf_r</f>
        <v>36.5</v>
      </c>
      <c r="D90" s="26" t="n">
        <f aca="false">IF(COUNT(B90:C90)&lt;2,"",C90-B90)</f>
        <v>0.5</v>
      </c>
      <c r="E90" s="18" t="n">
        <f aca="false">IF(D90="","",ABS(D90)/AVERAGE(B90:C90))</f>
        <v>0.0137931034482759</v>
      </c>
      <c r="F90" s="6" t="str">
        <f aca="false">IF(D90="","",IF(ABS(D90)&gt;p_lr_tol_cm,"beyond tape error","within tape error"))</f>
        <v>within tape error</v>
      </c>
    </row>
    <row r="91" customFormat="false" ht="15" hidden="false" customHeight="false" outlineLevel="0" collapsed="false">
      <c r="A91" s="6" t="s">
        <v>798</v>
      </c>
      <c r="B91" s="17" t="n">
        <f aca="false">m_calf_relaxed_l</f>
        <v>35</v>
      </c>
      <c r="C91" s="17" t="n">
        <f aca="false">m_calf_relaxed_r</f>
        <v>35.5</v>
      </c>
      <c r="D91" s="26" t="n">
        <f aca="false">IF(COUNT(B91:C91)&lt;2,"",C91-B91)</f>
        <v>0.5</v>
      </c>
      <c r="E91" s="18" t="n">
        <f aca="false">IF(D91="","",ABS(D91)/AVERAGE(B91:C91))</f>
        <v>0.0141843971631206</v>
      </c>
      <c r="F91" s="6" t="str">
        <f aca="false">IF(D91="","",IF(ABS(D91)&gt;p_lr_tol_cm,"beyond tape error","within tape error"))</f>
        <v>within tape error</v>
      </c>
    </row>
    <row r="92" customFormat="false" ht="15" hidden="false" customHeight="false" outlineLevel="0" collapsed="false">
      <c r="A92" s="6" t="s">
        <v>799</v>
      </c>
      <c r="B92" s="17" t="n">
        <f aca="false">m_ankle_l</f>
        <v>21</v>
      </c>
      <c r="C92" s="17" t="n">
        <f aca="false">m_ankle_r</f>
        <v>21</v>
      </c>
      <c r="D92" s="26" t="n">
        <f aca="false">IF(COUNT(B92:C92)&lt;2,"",C92-B92)</f>
        <v>0</v>
      </c>
      <c r="E92" s="18" t="n">
        <f aca="false">IF(D92="","",ABS(D92)/AVERAGE(B92:C92))</f>
        <v>0</v>
      </c>
      <c r="F92" s="6" t="str">
        <f aca="false">IF(D92="","",IF(ABS(D92)&gt;p_lr_tol_cm,"beyond tape error","within tape error"))</f>
        <v>within tape error</v>
      </c>
    </row>
    <row r="93" customFormat="false" ht="15" hidden="false" customHeight="false" outlineLevel="0" collapsed="false">
      <c r="A93" s="7" t="s">
        <v>800</v>
      </c>
    </row>
    <row r="95" customFormat="false" ht="16.15" hidden="false" customHeight="false" outlineLevel="0" collapsed="false">
      <c r="A95" s="11" t="s">
        <v>801</v>
      </c>
    </row>
    <row r="96" customFormat="false" ht="15" hidden="false" customHeight="false" outlineLevel="0" collapsed="false">
      <c r="A96" s="4" t="s">
        <v>802</v>
      </c>
      <c r="B96" s="4" t="s">
        <v>803</v>
      </c>
      <c r="C96" s="4" t="s">
        <v>804</v>
      </c>
      <c r="D96" s="4" t="s">
        <v>805</v>
      </c>
      <c r="E96" s="4" t="s">
        <v>806</v>
      </c>
      <c r="F96" s="4" t="s">
        <v>807</v>
      </c>
    </row>
    <row r="97" customFormat="false" ht="15" hidden="false" customHeight="false" outlineLevel="0" collapsed="false">
      <c r="A97" s="6" t="s">
        <v>808</v>
      </c>
      <c r="B97" s="17" t="str">
        <f aca="false">IF(m_sex="female","",p_kg_per_lb*(m_height/p_cm_per_in)^1.5*(SQRT(m_wrist/p_cm_per_in)/p_butt_w+SQRT(m_ankle/p_cm_per_in)/p_butt_a)*(p_target_bf*100/p_butt_bf+1))</f>
        <v/>
      </c>
      <c r="C97" s="17" t="str">
        <f aca="false">IF(B97="","",r_lbm)</f>
        <v/>
      </c>
      <c r="D97" s="18" t="str">
        <f aca="false">IF(B97="","",C97/B97)</f>
        <v/>
      </c>
      <c r="E97" s="17" t="str">
        <f aca="false">IF(B97="","",B97-C97)</f>
        <v/>
      </c>
      <c r="F97" s="17" t="str">
        <f aca="false">IF(B97="","",B97/(1-p_target_bf))</f>
        <v/>
      </c>
    </row>
    <row r="98" customFormat="false" ht="15" hidden="false" customHeight="false" outlineLevel="0" collapsed="false">
      <c r="A98" s="6" t="s">
        <v>809</v>
      </c>
      <c r="B98" s="17" t="str">
        <f aca="false">IF(m_sex="female","",(m_height-p_berkhan_offset)*(1-p_berkhan_bf))</f>
        <v/>
      </c>
      <c r="C98" s="17" t="str">
        <f aca="false">IF(B98="","",r_lbm)</f>
        <v/>
      </c>
      <c r="D98" s="18" t="str">
        <f aca="false">IF(B98="","",C98/B98)</f>
        <v/>
      </c>
      <c r="E98" s="17" t="str">
        <f aca="false">IF(B98="","",B98-C98)</f>
        <v/>
      </c>
      <c r="F98" s="17" t="str">
        <f aca="false">IF(B98="","",B98/(1-p_target_bf))</f>
        <v/>
      </c>
    </row>
    <row r="99" customFormat="false" ht="15" hidden="false" customHeight="false" outlineLevel="0" collapsed="false">
      <c r="A99" s="6" t="s">
        <v>810</v>
      </c>
      <c r="B99" s="17" t="n">
        <f aca="false">(p_ffmi_ceiling-p_ffmi_norm*p_ffmi_slope*(p_ffmi_ref_h-m_height/100))*(m_height/100)^2</f>
        <v>64.28144</v>
      </c>
      <c r="C99" s="17" t="n">
        <f aca="false">IF(B99="","",r_lbm)</f>
        <v>45.7407728248983</v>
      </c>
      <c r="D99" s="18" t="n">
        <f aca="false">IF(B99="","",C99/B99)</f>
        <v>0.711570444359964</v>
      </c>
      <c r="E99" s="17" t="n">
        <f aca="false">IF(B99="","",B99-C99)</f>
        <v>18.5406671751017</v>
      </c>
      <c r="F99" s="17" t="n">
        <f aca="false">IF(B99="","",B99/(1-p_target_bf))</f>
        <v>82.4121025641026</v>
      </c>
    </row>
    <row r="100" customFormat="false" ht="15" hidden="false" customHeight="false" outlineLevel="0" collapsed="false">
      <c r="A100" s="6" t="s">
        <v>811</v>
      </c>
      <c r="B100" s="17" t="n">
        <f aca="false">IF(m_sex="female",p_ffmi_alt_f*(m_height/100)^2,"")</f>
        <v>51.64032</v>
      </c>
      <c r="C100" s="17" t="n">
        <f aca="false">IF(B100="","",r_lbm)</f>
        <v>45.7407728248983</v>
      </c>
      <c r="D100" s="18" t="n">
        <f aca="false">IF(B100="","",C100/B100)</f>
        <v>0.88575695938558</v>
      </c>
      <c r="E100" s="17" t="n">
        <f aca="false">IF(B100="","",B100-C100)</f>
        <v>5.89954717510166</v>
      </c>
      <c r="F100" s="17" t="n">
        <f aca="false">IF(B100="","",B100/(1-p_target_bf))</f>
        <v>66.2055384615384</v>
      </c>
    </row>
    <row r="101" customFormat="false" ht="15" hidden="false" customHeight="false" outlineLevel="0" collapsed="false">
      <c r="A101" s="12" t="s">
        <v>812</v>
      </c>
      <c r="B101" s="17" t="n">
        <f aca="false">IF(p_size_model="Butt",B97,B99)</f>
        <v>64.28144</v>
      </c>
      <c r="C101" s="7" t="str">
        <f aca="false">"model: "&amp;p_size_model</f>
        <v>model: FFMI</v>
      </c>
    </row>
    <row r="102" customFormat="false" ht="15" hidden="false" customHeight="false" outlineLevel="0" collapsed="false">
      <c r="A102" s="7" t="s">
        <v>813</v>
      </c>
    </row>
    <row r="104" customFormat="false" ht="16.15" hidden="false" customHeight="false" outlineLevel="0" collapsed="false">
      <c r="A104" s="11" t="s">
        <v>814</v>
      </c>
    </row>
    <row r="105" customFormat="false" ht="15" hidden="false" customHeight="false" outlineLevel="0" collapsed="false">
      <c r="A105" s="4" t="s">
        <v>547</v>
      </c>
      <c r="B105" s="4" t="s">
        <v>815</v>
      </c>
      <c r="C105" s="4" t="s">
        <v>816</v>
      </c>
      <c r="D105" s="4" t="s">
        <v>805</v>
      </c>
      <c r="E105" s="4" t="s">
        <v>817</v>
      </c>
    </row>
    <row r="106" customFormat="false" ht="15" hidden="false" customHeight="false" outlineLevel="0" collapsed="false">
      <c r="A106" s="6" t="str">
        <f aca="false">Parameters!$A$89</f>
        <v>chest</v>
      </c>
      <c r="B106" s="17" t="str">
        <f aca="false">IF(m_sex="female","",Parameters!$B$89*m_wrist+Parameters!$C$89*m_ankle+Parameters!$D$89*m_height)</f>
        <v/>
      </c>
      <c r="C106" s="17" t="n">
        <f aca="false">INDEX($B$7:$B$43,MATCH(Parameters!$F$89,$A$7:$A$43,0))</f>
        <v>90</v>
      </c>
      <c r="D106" s="18" t="str">
        <f aca="false">IF(OR(B106="",C106=""),"",C106/B106)</f>
        <v/>
      </c>
      <c r="E106" s="7" t="str">
        <f aca="false">Parameters!$E$89</f>
        <v>relaxed, not expanded</v>
      </c>
    </row>
    <row r="107" customFormat="false" ht="15" hidden="false" customHeight="false" outlineLevel="0" collapsed="false">
      <c r="A107" s="6" t="str">
        <f aca="false">Parameters!$A$90</f>
        <v>arm</v>
      </c>
      <c r="B107" s="17" t="str">
        <f aca="false">IF(m_sex="female","",Parameters!$B$90*m_wrist+Parameters!$C$90*m_ankle+Parameters!$D$90*m_height)</f>
        <v/>
      </c>
      <c r="C107" s="17" t="n">
        <f aca="false">INDEX($B$7:$B$43,MATCH(Parameters!$F$90,$A$7:$A$43,0))</f>
        <v>28.25</v>
      </c>
      <c r="D107" s="18" t="str">
        <f aca="false">IF(OR(B107="",C107=""),"",C107/B107)</f>
        <v/>
      </c>
      <c r="E107" s="7" t="str">
        <f aca="false">Parameters!$E$90</f>
        <v>flexed</v>
      </c>
    </row>
    <row r="108" customFormat="false" ht="15" hidden="false" customHeight="false" outlineLevel="0" collapsed="false">
      <c r="A108" s="6" t="str">
        <f aca="false">Parameters!$A$91</f>
        <v>forearm</v>
      </c>
      <c r="B108" s="17" t="str">
        <f aca="false">IF(m_sex="female","",Parameters!$B$91*m_wrist+Parameters!$C$91*m_ankle+Parameters!$D$91*m_height)</f>
        <v/>
      </c>
      <c r="C108" s="17" t="n">
        <f aca="false">INDEX($B$7:$B$43,MATCH(Parameters!$F$91,$A$7:$A$43,0))</f>
        <v>23.75</v>
      </c>
      <c r="D108" s="18" t="str">
        <f aca="false">IF(OR(B108="",C108=""),"",C108/B108)</f>
        <v/>
      </c>
      <c r="E108" s="7" t="str">
        <f aca="false">Parameters!$E$91</f>
        <v>fist clenched, arm straight</v>
      </c>
    </row>
    <row r="109" customFormat="false" ht="15" hidden="false" customHeight="false" outlineLevel="0" collapsed="false">
      <c r="A109" s="6" t="str">
        <f aca="false">Parameters!$A$92</f>
        <v>neck</v>
      </c>
      <c r="B109" s="17" t="str">
        <f aca="false">IF(m_sex="female","",Parameters!$B$92*m_wrist+Parameters!$C$92*m_ankle+Parameters!$D$92*m_height)</f>
        <v/>
      </c>
      <c r="C109" s="17" t="n">
        <f aca="false">INDEX($B$7:$B$43,MATCH(Parameters!$F$92,$A$7:$A$43,0))</f>
        <v>32</v>
      </c>
      <c r="D109" s="18" t="str">
        <f aca="false">IF(OR(B109="",C109=""),"",C109/B109)</f>
        <v/>
      </c>
      <c r="E109" s="7" t="str">
        <f aca="false">Parameters!$E$92</f>
        <v>below Adam's apple</v>
      </c>
    </row>
    <row r="110" customFormat="false" ht="15" hidden="false" customHeight="false" outlineLevel="0" collapsed="false">
      <c r="A110" s="6" t="str">
        <f aca="false">Parameters!$A$93</f>
        <v>thigh</v>
      </c>
      <c r="B110" s="17" t="str">
        <f aca="false">IF(m_sex="female","",Parameters!$B$93*m_wrist+Parameters!$C$93*m_ankle+Parameters!$D$93*m_height)</f>
        <v/>
      </c>
      <c r="C110" s="17" t="n">
        <f aca="false">INDEX($B$7:$B$43,MATCH(Parameters!$F$93,$A$7:$A$43,0))</f>
        <v>54.25</v>
      </c>
      <c r="D110" s="18" t="str">
        <f aca="false">IF(OR(B110="",C110=""),"",C110/B110)</f>
        <v/>
      </c>
      <c r="E110" s="7" t="str">
        <f aca="false">Parameters!$E$93</f>
        <v>midway hip-knee, standing relaxed</v>
      </c>
    </row>
    <row r="111" customFormat="false" ht="15" hidden="false" customHeight="false" outlineLevel="0" collapsed="false">
      <c r="A111" s="6" t="str">
        <f aca="false">Parameters!$A$94</f>
        <v>calf</v>
      </c>
      <c r="B111" s="17" t="str">
        <f aca="false">IF(m_sex="female","",Parameters!$B$94*m_wrist+Parameters!$C$94*m_ankle+Parameters!$D$94*m_height)</f>
        <v/>
      </c>
      <c r="C111" s="17" t="n">
        <f aca="false">INDEX($B$7:$B$43,MATCH(Parameters!$F$94,$A$7:$A$43,0))</f>
        <v>35.25</v>
      </c>
      <c r="D111" s="18" t="str">
        <f aca="false">IF(OR(B111="",C111=""),"",C111/B111)</f>
        <v/>
      </c>
      <c r="E111" s="7" t="str">
        <f aca="false">Parameters!$E$94</f>
        <v>standing relaxed</v>
      </c>
    </row>
    <row r="112" customFormat="false" ht="15" hidden="false" customHeight="false" outlineLevel="0" collapsed="false">
      <c r="A112" s="7" t="s">
        <v>818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3" min="2" style="0" width="12"/>
    <col collapsed="false" customWidth="true" hidden="true" outlineLevel="0" max="16" min="14" style="0" width="12"/>
    <col collapsed="false" customWidth="true" hidden="false" outlineLevel="0" max="21" min="17" style="0" width="12"/>
    <col collapsed="false" customWidth="true" hidden="true" outlineLevel="0" max="22" min="22" style="0" width="12"/>
    <col collapsed="false" customWidth="true" hidden="false" outlineLevel="0" max="23" min="23" style="0" width="12"/>
  </cols>
  <sheetData>
    <row r="1" customFormat="false" ht="16.15" hidden="false" customHeight="false" outlineLevel="0" collapsed="false">
      <c r="A1" s="11" t="s">
        <v>819</v>
      </c>
    </row>
    <row r="2" customFormat="false" ht="15" hidden="false" customHeight="false" outlineLevel="0" collapsed="false">
      <c r="A2" s="12" t="s">
        <v>225</v>
      </c>
      <c r="B2" s="13" t="n">
        <f aca="false">r_date</f>
        <v>46266</v>
      </c>
    </row>
    <row r="3" customFormat="false" ht="15" hidden="false" customHeight="false" outlineLevel="0" collapsed="false">
      <c r="A3" s="12" t="s">
        <v>820</v>
      </c>
      <c r="B3" s="17" t="n">
        <f aca="false">m_weight</f>
        <v>66</v>
      </c>
    </row>
    <row r="4" customFormat="false" ht="15" hidden="false" customHeight="false" outlineLevel="0" collapsed="false">
      <c r="A4" s="12" t="s">
        <v>41</v>
      </c>
      <c r="B4" s="19" t="n">
        <f aca="false">m_age</f>
        <v>38</v>
      </c>
    </row>
    <row r="5" customFormat="false" ht="15" hidden="false" customHeight="false" outlineLevel="0" collapsed="false">
      <c r="A5" s="12" t="s">
        <v>821</v>
      </c>
      <c r="B5" s="14" t="n">
        <f aca="false">INDEX(t_agecoef,MATCH(MIN(90,MAX(14,INT(m_age))),t_ages,0))</f>
        <v>1</v>
      </c>
    </row>
    <row r="6" customFormat="false" ht="15" hidden="false" customHeight="false" outlineLevel="0" collapsed="false">
      <c r="A6" s="12" t="s">
        <v>822</v>
      </c>
      <c r="B6" s="27" t="n">
        <f aca="false">500/(p_wilks_a+p_wilks_b*m_weight+p_wilks_c*m_weight^2+p_wilks_d*m_weight^3+p_wilks_e*m_weight^4+p_wilks_f*m_weight^5)</f>
        <v>1.03737401864942</v>
      </c>
    </row>
    <row r="7" customFormat="false" ht="15" hidden="false" customHeight="false" outlineLevel="0" collapsed="false">
      <c r="A7" s="12" t="s">
        <v>823</v>
      </c>
      <c r="B7" s="14" t="n">
        <f aca="false">1+pl_ratio_squat+pl_ratio_bench</f>
        <v>2.41</v>
      </c>
    </row>
    <row r="8" customFormat="false" ht="15" hidden="false" customHeight="false" outlineLevel="0" collapsed="false">
      <c r="A8" s="12" t="s">
        <v>824</v>
      </c>
      <c r="B8" s="27" t="n">
        <f aca="false">s_plsum*s_wilks/4*s_agec</f>
        <v>0.625017846236278</v>
      </c>
      <c r="C8" s="7" t="s">
        <v>825</v>
      </c>
    </row>
    <row r="10" customFormat="false" ht="16.15" hidden="false" customHeight="false" outlineLevel="0" collapsed="false">
      <c r="A10" s="11" t="s">
        <v>12</v>
      </c>
    </row>
    <row r="11" customFormat="false" ht="15" hidden="false" customHeight="false" outlineLevel="0" collapsed="false">
      <c r="A11" s="4" t="s">
        <v>698</v>
      </c>
      <c r="B11" s="4" t="s">
        <v>306</v>
      </c>
      <c r="C11" s="4" t="s">
        <v>826</v>
      </c>
      <c r="D11" s="4" t="s">
        <v>117</v>
      </c>
      <c r="E11" s="4" t="s">
        <v>827</v>
      </c>
      <c r="F11" s="4" t="s">
        <v>828</v>
      </c>
      <c r="G11" s="4" t="s">
        <v>829</v>
      </c>
      <c r="H11" s="4" t="s">
        <v>830</v>
      </c>
      <c r="I11" s="4" t="s">
        <v>256</v>
      </c>
      <c r="J11" s="4" t="s">
        <v>310</v>
      </c>
      <c r="K11" s="4" t="s">
        <v>308</v>
      </c>
      <c r="L11" s="4" t="s">
        <v>309</v>
      </c>
      <c r="M11" s="4" t="s">
        <v>691</v>
      </c>
      <c r="N11" s="4" t="s">
        <v>831</v>
      </c>
      <c r="O11" s="4" t="s">
        <v>832</v>
      </c>
      <c r="P11" s="4" t="s">
        <v>833</v>
      </c>
    </row>
    <row r="12" customFormat="false" ht="15" hidden="false" customHeight="false" outlineLevel="0" collapsed="false">
      <c r="A12" s="6" t="str">
        <f aca="false">Parameters!$B$196</f>
        <v>Back squat</v>
      </c>
      <c r="B12" s="6" t="str">
        <f aca="false">Parameters!$C$196</f>
        <v>squat</v>
      </c>
      <c r="C12" s="17" t="n">
        <f aca="false">IF(INDEX(Measurements!$E$2:$AH$69,MATCH("squat_load",Measurements!$A$2:$A$69,0),r_col)="","",INDEX(Measurements!$E$2:$AH$69,MATCH("squat_load",Measurements!$A$2:$A$69,0),r_col))</f>
        <v>50</v>
      </c>
      <c r="D12" s="19" t="n">
        <f aca="false">IF(INDEX(Measurements!$E$2:$AH$69,MATCH("squat_reps",Measurements!$A$2:$A$69,0),r_col)="","",INT(INDEX(Measurements!$E$2:$AH$69,MATCH("squat_reps",Measurements!$A$2:$A$69,0),r_col)))</f>
        <v>5</v>
      </c>
      <c r="E12" s="17" t="n">
        <f aca="false">IF(OR(C12="",D12=""),"",C12+IF(Parameters!$D$196=1,m_weight,0))</f>
        <v>50</v>
      </c>
      <c r="F12" s="17" t="n">
        <f aca="false">IF(E12="","",E12*100/(p_wathan_a+p_wathan_b*EXP(-p_wathan_k*D12)))</f>
        <v>58.2912526455946</v>
      </c>
      <c r="G12" s="17" t="n">
        <f aca="false">IF(F12="","",F12-IF(Parameters!$D$196=1,m_weight,0))</f>
        <v>58.2912526455946</v>
      </c>
      <c r="H12" s="17" t="n">
        <f aca="false">IF(F12="","",IF((F12/Parameters!$F$196-Parameters!$AC$196*m_weight)/IF(Parameters!$E$196="",1,INDEX(Parameters!$G$196:$G$212,MATCH(Parameters!$E$196,Parameters!$A$196:$A$212,0)))&lt;=0,"",(F12/Parameters!$F$196-Parameters!$AC$196*m_weight)/IF(Parameters!$E$196="",1,INDEX(Parameters!$G$196:$G$212,MATCH(Parameters!$E$196,Parameters!$A$196:$A$212,0)))))</f>
        <v>69.3943483876126</v>
      </c>
      <c r="I12" s="17" t="n">
        <f aca="false">IF(H12="","",H12*s_perkg)</f>
        <v>43.3727061701956</v>
      </c>
      <c r="J12" s="6" t="str">
        <f aca="false">IF(I12="","",INDEX(t_names,MATCH(I12,t_mins,1)))</f>
        <v>Untrained</v>
      </c>
      <c r="K12" s="20" t="n">
        <f aca="false">IF(I12="","",I12/s_overall-1)</f>
        <v>-0.108952354427573</v>
      </c>
      <c r="L12" s="6" t="str">
        <f aca="false">IF(K12="","",IF(K12&gt;p_dev_tol,"strong",IF(K12&lt;-p_dev_tol,"weak","in line")))</f>
        <v>weak</v>
      </c>
      <c r="M12" s="7" t="str">
        <f aca="false">IF(AND(F12&lt;&gt;"",H12=""),"below the conversion's range: not scored","")</f>
        <v/>
      </c>
      <c r="N12" s="17" t="n">
        <f aca="false">IF(I12="",0,I12)</f>
        <v>43.3727061701956</v>
      </c>
      <c r="O12" s="6" t="n">
        <f aca="false">IF(I12="",0,1)</f>
        <v>1</v>
      </c>
      <c r="P12" s="6" t="str">
        <f aca="false">IF(I12="","",B12&amp;"|"&amp;I12)</f>
        <v>squat|43.3727061701956</v>
      </c>
    </row>
    <row r="13" customFormat="false" ht="15" hidden="false" customHeight="false" outlineLevel="0" collapsed="false">
      <c r="A13" s="6" t="str">
        <f aca="false">Parameters!$B$197</f>
        <v>Front squat</v>
      </c>
      <c r="B13" s="6" t="str">
        <f aca="false">Parameters!$C$197</f>
        <v>squat</v>
      </c>
      <c r="C13" s="17" t="str">
        <f aca="false">IF(INDEX(Measurements!$E$2:$AH$69,MATCH("front_squat_load",Measurements!$A$2:$A$69,0),r_col)="","",INDEX(Measurements!$E$2:$AH$69,MATCH("front_squat_load",Measurements!$A$2:$A$69,0),r_col))</f>
        <v/>
      </c>
      <c r="D13" s="19" t="str">
        <f aca="false">IF(INDEX(Measurements!$E$2:$AH$69,MATCH("front_squat_reps",Measurements!$A$2:$A$69,0),r_col)="","",INT(INDEX(Measurements!$E$2:$AH$69,MATCH("front_squat_reps",Measurements!$A$2:$A$69,0),r_col)))</f>
        <v/>
      </c>
      <c r="E13" s="17" t="str">
        <f aca="false">IF(OR(C13="",D13=""),"",C13+IF(Parameters!$D$197=1,m_weight,0))</f>
        <v/>
      </c>
      <c r="F13" s="17" t="str">
        <f aca="false">IF(E13="","",E13*100/(p_wathan_a+p_wathan_b*EXP(-p_wathan_k*D13)))</f>
        <v/>
      </c>
      <c r="G13" s="17" t="str">
        <f aca="false">IF(F13="","",F13-IF(Parameters!$D$197=1,m_weight,0))</f>
        <v/>
      </c>
      <c r="H13" s="17" t="str">
        <f aca="false">IF(F13="","",IF((F13/Parameters!$F$197-Parameters!$AC$197*m_weight)/IF(Parameters!$E$197="",1,INDEX(Parameters!$G$196:$G$212,MATCH(Parameters!$E$197,Parameters!$A$196:$A$212,0)))&lt;=0,"",(F13/Parameters!$F$197-Parameters!$AC$197*m_weight)/IF(Parameters!$E$197="",1,INDEX(Parameters!$G$196:$G$212,MATCH(Parameters!$E$197,Parameters!$A$196:$A$212,0)))))</f>
        <v/>
      </c>
      <c r="I13" s="17" t="str">
        <f aca="false">IF(H13="","",H13*s_perkg)</f>
        <v/>
      </c>
      <c r="J13" s="6" t="str">
        <f aca="false">IF(I13="","",INDEX(t_names,MATCH(I13,t_mins,1)))</f>
        <v/>
      </c>
      <c r="K13" s="20" t="str">
        <f aca="false">IF(I13="","",I13/s_overall-1)</f>
        <v/>
      </c>
      <c r="L13" s="6" t="str">
        <f aca="false">IF(K13="","",IF(K13&gt;p_dev_tol,"strong",IF(K13&lt;-p_dev_tol,"weak","in line")))</f>
        <v/>
      </c>
      <c r="M13" s="7" t="str">
        <f aca="false">IF(AND(F13&lt;&gt;"",H13=""),"below the conversion's range: not scored","")</f>
        <v/>
      </c>
      <c r="N13" s="17" t="n">
        <f aca="false">IF(I13="",0,I13)</f>
        <v>0</v>
      </c>
      <c r="O13" s="6" t="n">
        <f aca="false">IF(I13="",0,1)</f>
        <v>0</v>
      </c>
      <c r="P13" s="6" t="str">
        <f aca="false">IF(I13="","",B13&amp;"|"&amp;I13)</f>
        <v/>
      </c>
    </row>
    <row r="14" customFormat="false" ht="15" hidden="false" customHeight="false" outlineLevel="0" collapsed="false">
      <c r="A14" s="6" t="str">
        <f aca="false">Parameters!$B$198</f>
        <v>45-degree leg press</v>
      </c>
      <c r="B14" s="6" t="str">
        <f aca="false">Parameters!$C$198</f>
        <v>squat</v>
      </c>
      <c r="C14" s="17" t="n">
        <f aca="false">IF(INDEX(Measurements!$E$2:$AH$69,MATCH("leg_press_load",Measurements!$A$2:$A$69,0),r_col)="","",INDEX(Measurements!$E$2:$AH$69,MATCH("leg_press_load",Measurements!$A$2:$A$69,0),r_col))</f>
        <v>120</v>
      </c>
      <c r="D14" s="19" t="n">
        <f aca="false">IF(INDEX(Measurements!$E$2:$AH$69,MATCH("leg_press_reps",Measurements!$A$2:$A$69,0),r_col)="","",INT(INDEX(Measurements!$E$2:$AH$69,MATCH("leg_press_reps",Measurements!$A$2:$A$69,0),r_col)))</f>
        <v>10</v>
      </c>
      <c r="E14" s="17" t="n">
        <f aca="false">IF(OR(C14="",D14=""),"",C14+IF(Parameters!$D$198=1,m_weight,0))</f>
        <v>120</v>
      </c>
      <c r="F14" s="17" t="n">
        <f aca="false">IF(E14="","",E14*100/(p_wathan_a+p_wathan_b*EXP(-p_wathan_k*D14)))</f>
        <v>161.696039378022</v>
      </c>
      <c r="G14" s="17" t="n">
        <f aca="false">IF(F14="","",F14-IF(Parameters!$D$198=1,m_weight,0))</f>
        <v>161.696039378022</v>
      </c>
      <c r="H14" s="17" t="n">
        <f aca="false">IF(F14="","",IF((F14/Parameters!$F$198-Parameters!$AC$198*m_weight)/IF(Parameters!$E$198="",1,INDEX(Parameters!$G$196:$G$212,MATCH(Parameters!$E$198,Parameters!$A$196:$A$212,0)))&lt;=0,"",(F14/Parameters!$F$198-Parameters!$AC$198*m_weight)/IF(Parameters!$E$198="",1,INDEX(Parameters!$G$196:$G$212,MATCH(Parameters!$E$198,Parameters!$A$196:$A$212,0)))))</f>
        <v>58.9252035527402</v>
      </c>
      <c r="I14" s="17" t="n">
        <f aca="false">IF(H14="","",H14*s_perkg)</f>
        <v>36.829303813568</v>
      </c>
      <c r="J14" s="6" t="str">
        <f aca="false">IF(I14="","",INDEX(t_names,MATCH(I14,t_mins,1)))</f>
        <v>Untrained</v>
      </c>
      <c r="K14" s="20" t="n">
        <f aca="false">IF(I14="","",I14/s_overall-1)</f>
        <v>-0.243379826880575</v>
      </c>
      <c r="L14" s="6" t="str">
        <f aca="false">IF(K14="","",IF(K14&gt;p_dev_tol,"strong",IF(K14&lt;-p_dev_tol,"weak","in line")))</f>
        <v>weak</v>
      </c>
      <c r="M14" s="7" t="str">
        <f aca="false">IF(AND(F14&lt;&gt;"",H14=""),"below the conversion's range: not scored","")</f>
        <v/>
      </c>
      <c r="N14" s="17" t="n">
        <f aca="false">IF(I14="",0,I14)</f>
        <v>36.829303813568</v>
      </c>
      <c r="O14" s="6" t="n">
        <f aca="false">IF(I14="",0,1)</f>
        <v>1</v>
      </c>
      <c r="P14" s="6" t="str">
        <f aca="false">IF(I14="","",B14&amp;"|"&amp;I14)</f>
        <v>squat|36.829303813568</v>
      </c>
    </row>
    <row r="15" customFormat="false" ht="15" hidden="false" customHeight="false" outlineLevel="0" collapsed="false">
      <c r="A15" s="6" t="str">
        <f aca="false">Parameters!$B$199</f>
        <v>Deadlift</v>
      </c>
      <c r="B15" s="6" t="str">
        <f aca="false">Parameters!$C$199</f>
        <v>floor pull</v>
      </c>
      <c r="C15" s="17" t="n">
        <f aca="false">IF(INDEX(Measurements!$E$2:$AH$69,MATCH("deadlift_load",Measurements!$A$2:$A$69,0),r_col)="","",INDEX(Measurements!$E$2:$AH$69,MATCH("deadlift_load",Measurements!$A$2:$A$69,0),r_col))</f>
        <v>70</v>
      </c>
      <c r="D15" s="19" t="n">
        <f aca="false">IF(INDEX(Measurements!$E$2:$AH$69,MATCH("deadlift_reps",Measurements!$A$2:$A$69,0),r_col)="","",INT(INDEX(Measurements!$E$2:$AH$69,MATCH("deadlift_reps",Measurements!$A$2:$A$69,0),r_col)))</f>
        <v>5</v>
      </c>
      <c r="E15" s="17" t="n">
        <f aca="false">IF(OR(C15="",D15=""),"",C15+IF(Parameters!$D$199=1,m_weight,0))</f>
        <v>70</v>
      </c>
      <c r="F15" s="17" t="n">
        <f aca="false">IF(E15="","",E15*100/(p_wathan_a+p_wathan_b*EXP(-p_wathan_k*D15)))</f>
        <v>81.6077537038325</v>
      </c>
      <c r="G15" s="17" t="n">
        <f aca="false">IF(F15="","",F15-IF(Parameters!$D$199=1,m_weight,0))</f>
        <v>81.6077537038325</v>
      </c>
      <c r="H15" s="17" t="n">
        <f aca="false">IF(F15="","",IF((F15/Parameters!$F$199-Parameters!$AC$199*m_weight)/IF(Parameters!$E$199="",1,INDEX(Parameters!$G$196:$G$212,MATCH(Parameters!$E$199,Parameters!$A$196:$A$212,0)))&lt;=0,"",(F15/Parameters!$F$199-Parameters!$AC$199*m_weight)/IF(Parameters!$E$199="",1,INDEX(Parameters!$G$196:$G$212,MATCH(Parameters!$E$199,Parameters!$A$196:$A$212,0)))))</f>
        <v>81.6077537038325</v>
      </c>
      <c r="I15" s="17" t="n">
        <f aca="false">IF(H15="","",H15*s_perkg)</f>
        <v>51.00630245615</v>
      </c>
      <c r="J15" s="6" t="str">
        <f aca="false">IF(I15="","",INDEX(t_names,MATCH(I15,t_mins,1)))</f>
        <v>Novice</v>
      </c>
      <c r="K15" s="20" t="n">
        <f aca="false">IF(I15="","",I15/s_overall-1)</f>
        <v>0.047872031193174</v>
      </c>
      <c r="L15" s="6" t="str">
        <f aca="false">IF(K15="","",IF(K15&gt;p_dev_tol,"strong",IF(K15&lt;-p_dev_tol,"weak","in line")))</f>
        <v>in line</v>
      </c>
      <c r="M15" s="7" t="str">
        <f aca="false">IF(AND(F15&lt;&gt;"",H15=""),"below the conversion's range: not scored","")</f>
        <v/>
      </c>
      <c r="N15" s="17" t="n">
        <f aca="false">IF(I15="",0,I15)</f>
        <v>51.00630245615</v>
      </c>
      <c r="O15" s="6" t="n">
        <f aca="false">IF(I15="",0,1)</f>
        <v>1</v>
      </c>
      <c r="P15" s="6" t="str">
        <f aca="false">IF(I15="","",B15&amp;"|"&amp;I15)</f>
        <v>floor pull|51.00630245615</v>
      </c>
    </row>
    <row r="16" customFormat="false" ht="15" hidden="false" customHeight="false" outlineLevel="0" collapsed="false">
      <c r="A16" s="6" t="str">
        <f aca="false">Parameters!$B$200</f>
        <v>Sumo deadlift</v>
      </c>
      <c r="B16" s="6" t="str">
        <f aca="false">Parameters!$C$200</f>
        <v>floor pull</v>
      </c>
      <c r="C16" s="17" t="str">
        <f aca="false">IF(INDEX(Measurements!$E$2:$AH$69,MATCH("sumo_deadlift_load",Measurements!$A$2:$A$69,0),r_col)="","",INDEX(Measurements!$E$2:$AH$69,MATCH("sumo_deadlift_load",Measurements!$A$2:$A$69,0),r_col))</f>
        <v/>
      </c>
      <c r="D16" s="19" t="str">
        <f aca="false">IF(INDEX(Measurements!$E$2:$AH$69,MATCH("sumo_deadlift_reps",Measurements!$A$2:$A$69,0),r_col)="","",INT(INDEX(Measurements!$E$2:$AH$69,MATCH("sumo_deadlift_reps",Measurements!$A$2:$A$69,0),r_col)))</f>
        <v/>
      </c>
      <c r="E16" s="17" t="str">
        <f aca="false">IF(OR(C16="",D16=""),"",C16+IF(Parameters!$D$200=1,m_weight,0))</f>
        <v/>
      </c>
      <c r="F16" s="17" t="str">
        <f aca="false">IF(E16="","",E16*100/(p_wathan_a+p_wathan_b*EXP(-p_wathan_k*D16)))</f>
        <v/>
      </c>
      <c r="G16" s="17" t="str">
        <f aca="false">IF(F16="","",F16-IF(Parameters!$D$200=1,m_weight,0))</f>
        <v/>
      </c>
      <c r="H16" s="17" t="str">
        <f aca="false">IF(F16="","",IF((F16/Parameters!$F$200-Parameters!$AC$200*m_weight)/IF(Parameters!$E$200="",1,INDEX(Parameters!$G$196:$G$212,MATCH(Parameters!$E$200,Parameters!$A$196:$A$212,0)))&lt;=0,"",(F16/Parameters!$F$200-Parameters!$AC$200*m_weight)/IF(Parameters!$E$200="",1,INDEX(Parameters!$G$196:$G$212,MATCH(Parameters!$E$200,Parameters!$A$196:$A$212,0)))))</f>
        <v/>
      </c>
      <c r="I16" s="17" t="str">
        <f aca="false">IF(H16="","",H16*s_perkg)</f>
        <v/>
      </c>
      <c r="J16" s="6" t="str">
        <f aca="false">IF(I16="","",INDEX(t_names,MATCH(I16,t_mins,1)))</f>
        <v/>
      </c>
      <c r="K16" s="20" t="str">
        <f aca="false">IF(I16="","",I16/s_overall-1)</f>
        <v/>
      </c>
      <c r="L16" s="6" t="str">
        <f aca="false">IF(K16="","",IF(K16&gt;p_dev_tol,"strong",IF(K16&lt;-p_dev_tol,"weak","in line")))</f>
        <v/>
      </c>
      <c r="M16" s="7" t="str">
        <f aca="false">IF(AND(F16&lt;&gt;"",H16=""),"below the conversion's range: not scored","")</f>
        <v/>
      </c>
      <c r="N16" s="17" t="n">
        <f aca="false">IF(I16="",0,I16)</f>
        <v>0</v>
      </c>
      <c r="O16" s="6" t="n">
        <f aca="false">IF(I16="",0,1)</f>
        <v>0</v>
      </c>
      <c r="P16" s="6" t="str">
        <f aca="false">IF(I16="","",B16&amp;"|"&amp;I16)</f>
        <v/>
      </c>
    </row>
    <row r="17" customFormat="false" ht="15" hidden="false" customHeight="false" outlineLevel="0" collapsed="false">
      <c r="A17" s="6" t="str">
        <f aca="false">Parameters!$B$201</f>
        <v>Power clean</v>
      </c>
      <c r="B17" s="6" t="str">
        <f aca="false">Parameters!$C$201</f>
        <v>floor pull</v>
      </c>
      <c r="C17" s="17" t="str">
        <f aca="false">IF(INDEX(Measurements!$E$2:$AH$69,MATCH("power_clean_load",Measurements!$A$2:$A$69,0),r_col)="","",INDEX(Measurements!$E$2:$AH$69,MATCH("power_clean_load",Measurements!$A$2:$A$69,0),r_col))</f>
        <v/>
      </c>
      <c r="D17" s="19" t="str">
        <f aca="false">IF(INDEX(Measurements!$E$2:$AH$69,MATCH("power_clean_reps",Measurements!$A$2:$A$69,0),r_col)="","",INT(INDEX(Measurements!$E$2:$AH$69,MATCH("power_clean_reps",Measurements!$A$2:$A$69,0),r_col)))</f>
        <v/>
      </c>
      <c r="E17" s="17" t="str">
        <f aca="false">IF(OR(C17="",D17=""),"",C17+IF(Parameters!$D$201=1,m_weight,0))</f>
        <v/>
      </c>
      <c r="F17" s="17" t="str">
        <f aca="false">IF(E17="","",E17*100/(p_wathan_a+p_wathan_b*EXP(-p_wathan_k*D17)))</f>
        <v/>
      </c>
      <c r="G17" s="17" t="str">
        <f aca="false">IF(F17="","",F17-IF(Parameters!$D$201=1,m_weight,0))</f>
        <v/>
      </c>
      <c r="H17" s="17" t="str">
        <f aca="false">IF(F17="","",IF((F17/Parameters!$F$201-Parameters!$AC$201*m_weight)/IF(Parameters!$E$201="",1,INDEX(Parameters!$G$196:$G$212,MATCH(Parameters!$E$201,Parameters!$A$196:$A$212,0)))&lt;=0,"",(F17/Parameters!$F$201-Parameters!$AC$201*m_weight)/IF(Parameters!$E$201="",1,INDEX(Parameters!$G$196:$G$212,MATCH(Parameters!$E$201,Parameters!$A$196:$A$212,0)))))</f>
        <v/>
      </c>
      <c r="I17" s="17" t="str">
        <f aca="false">IF(H17="","",H17*s_perkg)</f>
        <v/>
      </c>
      <c r="J17" s="6" t="str">
        <f aca="false">IF(I17="","",INDEX(t_names,MATCH(I17,t_mins,1)))</f>
        <v/>
      </c>
      <c r="K17" s="20" t="str">
        <f aca="false">IF(I17="","",I17/s_overall-1)</f>
        <v/>
      </c>
      <c r="L17" s="6" t="str">
        <f aca="false">IF(K17="","",IF(K17&gt;p_dev_tol,"strong",IF(K17&lt;-p_dev_tol,"weak","in line")))</f>
        <v/>
      </c>
      <c r="M17" s="7" t="str">
        <f aca="false">IF(AND(F17&lt;&gt;"",H17=""),"below the conversion's range: not scored","")</f>
        <v/>
      </c>
      <c r="N17" s="17" t="n">
        <f aca="false">IF(I17="",0,I17)</f>
        <v>0</v>
      </c>
      <c r="O17" s="6" t="n">
        <f aca="false">IF(I17="",0,1)</f>
        <v>0</v>
      </c>
      <c r="P17" s="6" t="str">
        <f aca="false">IF(I17="","",B17&amp;"|"&amp;I17)</f>
        <v/>
      </c>
    </row>
    <row r="18" customFormat="false" ht="15" hidden="false" customHeight="false" outlineLevel="0" collapsed="false">
      <c r="A18" s="6" t="str">
        <f aca="false">Parameters!$B$202</f>
        <v>Bench press</v>
      </c>
      <c r="B18" s="6" t="str">
        <f aca="false">Parameters!$C$202</f>
        <v>horizontal press</v>
      </c>
      <c r="C18" s="17" t="n">
        <f aca="false">IF(INDEX(Measurements!$E$2:$AH$69,MATCH("bench_load",Measurements!$A$2:$A$69,0),r_col)="","",INDEX(Measurements!$E$2:$AH$69,MATCH("bench_load",Measurements!$A$2:$A$69,0),r_col))</f>
        <v>32.5</v>
      </c>
      <c r="D18" s="19" t="n">
        <f aca="false">IF(INDEX(Measurements!$E$2:$AH$69,MATCH("bench_reps",Measurements!$A$2:$A$69,0),r_col)="","",INT(INDEX(Measurements!$E$2:$AH$69,MATCH("bench_reps",Measurements!$A$2:$A$69,0),r_col)))</f>
        <v>5</v>
      </c>
      <c r="E18" s="17" t="n">
        <f aca="false">IF(OR(C18="",D18=""),"",C18+IF(Parameters!$D$202=1,m_weight,0))</f>
        <v>32.5</v>
      </c>
      <c r="F18" s="17" t="n">
        <f aca="false">IF(E18="","",E18*100/(p_wathan_a+p_wathan_b*EXP(-p_wathan_k*D18)))</f>
        <v>37.8893142196365</v>
      </c>
      <c r="G18" s="17" t="n">
        <f aca="false">IF(F18="","",F18-IF(Parameters!$D$202=1,m_weight,0))</f>
        <v>37.8893142196365</v>
      </c>
      <c r="H18" s="17" t="n">
        <f aca="false">IF(F18="","",IF((F18/Parameters!$F$202-Parameters!$AC$202*m_weight)/IF(Parameters!$E$202="",1,INDEX(Parameters!$G$196:$G$212,MATCH(Parameters!$E$202,Parameters!$A$196:$A$212,0)))&lt;=0,"",(F18/Parameters!$F$202-Parameters!$AC$202*m_weight)/IF(Parameters!$E$202="",1,INDEX(Parameters!$G$196:$G$212,MATCH(Parameters!$E$202,Parameters!$A$196:$A$212,0)))))</f>
        <v>66.4724810870816</v>
      </c>
      <c r="I18" s="17" t="n">
        <f aca="false">IF(H18="","",H18*s_perkg)</f>
        <v>41.5464869630295</v>
      </c>
      <c r="J18" s="6" t="str">
        <f aca="false">IF(I18="","",INDEX(t_names,MATCH(I18,t_mins,1)))</f>
        <v>Untrained</v>
      </c>
      <c r="K18" s="20" t="n">
        <f aca="false">IF(I18="","",I18/s_overall-1)</f>
        <v>-0.146470150030622</v>
      </c>
      <c r="L18" s="6" t="str">
        <f aca="false">IF(K18="","",IF(K18&gt;p_dev_tol,"strong",IF(K18&lt;-p_dev_tol,"weak","in line")))</f>
        <v>weak</v>
      </c>
      <c r="M18" s="7" t="str">
        <f aca="false">IF(AND(F18&lt;&gt;"",H18=""),"below the conversion's range: not scored","")</f>
        <v/>
      </c>
      <c r="N18" s="17" t="n">
        <f aca="false">IF(I18="",0,I18)</f>
        <v>41.5464869630295</v>
      </c>
      <c r="O18" s="6" t="n">
        <f aca="false">IF(I18="",0,1)</f>
        <v>1</v>
      </c>
      <c r="P18" s="6" t="str">
        <f aca="false">IF(I18="","",B18&amp;"|"&amp;I18)</f>
        <v>horizontal press|41.5464869630295</v>
      </c>
    </row>
    <row r="19" customFormat="false" ht="15" hidden="false" customHeight="false" outlineLevel="0" collapsed="false">
      <c r="A19" s="6" t="str">
        <f aca="false">Parameters!$B$203</f>
        <v>Incline bench press</v>
      </c>
      <c r="B19" s="6" t="str">
        <f aca="false">Parameters!$C$203</f>
        <v>horizontal press</v>
      </c>
      <c r="C19" s="17" t="str">
        <f aca="false">IF(INDEX(Measurements!$E$2:$AH$69,MATCH("incline_bench_load",Measurements!$A$2:$A$69,0),r_col)="","",INDEX(Measurements!$E$2:$AH$69,MATCH("incline_bench_load",Measurements!$A$2:$A$69,0),r_col))</f>
        <v/>
      </c>
      <c r="D19" s="19" t="str">
        <f aca="false">IF(INDEX(Measurements!$E$2:$AH$69,MATCH("incline_bench_reps",Measurements!$A$2:$A$69,0),r_col)="","",INT(INDEX(Measurements!$E$2:$AH$69,MATCH("incline_bench_reps",Measurements!$A$2:$A$69,0),r_col)))</f>
        <v/>
      </c>
      <c r="E19" s="17" t="str">
        <f aca="false">IF(OR(C19="",D19=""),"",C19+IF(Parameters!$D$203=1,m_weight,0))</f>
        <v/>
      </c>
      <c r="F19" s="17" t="str">
        <f aca="false">IF(E19="","",E19*100/(p_wathan_a+p_wathan_b*EXP(-p_wathan_k*D19)))</f>
        <v/>
      </c>
      <c r="G19" s="17" t="str">
        <f aca="false">IF(F19="","",F19-IF(Parameters!$D$203=1,m_weight,0))</f>
        <v/>
      </c>
      <c r="H19" s="17" t="str">
        <f aca="false">IF(F19="","",IF((F19/Parameters!$F$203-Parameters!$AC$203*m_weight)/IF(Parameters!$E$203="",1,INDEX(Parameters!$G$196:$G$212,MATCH(Parameters!$E$203,Parameters!$A$196:$A$212,0)))&lt;=0,"",(F19/Parameters!$F$203-Parameters!$AC$203*m_weight)/IF(Parameters!$E$203="",1,INDEX(Parameters!$G$196:$G$212,MATCH(Parameters!$E$203,Parameters!$A$196:$A$212,0)))))</f>
        <v/>
      </c>
      <c r="I19" s="17" t="str">
        <f aca="false">IF(H19="","",H19*s_perkg)</f>
        <v/>
      </c>
      <c r="J19" s="6" t="str">
        <f aca="false">IF(I19="","",INDEX(t_names,MATCH(I19,t_mins,1)))</f>
        <v/>
      </c>
      <c r="K19" s="20" t="str">
        <f aca="false">IF(I19="","",I19/s_overall-1)</f>
        <v/>
      </c>
      <c r="L19" s="6" t="str">
        <f aca="false">IF(K19="","",IF(K19&gt;p_dev_tol,"strong",IF(K19&lt;-p_dev_tol,"weak","in line")))</f>
        <v/>
      </c>
      <c r="M19" s="7" t="str">
        <f aca="false">IF(AND(F19&lt;&gt;"",H19=""),"below the conversion's range: not scored","")</f>
        <v/>
      </c>
      <c r="N19" s="17" t="n">
        <f aca="false">IF(I19="",0,I19)</f>
        <v>0</v>
      </c>
      <c r="O19" s="6" t="n">
        <f aca="false">IF(I19="",0,1)</f>
        <v>0</v>
      </c>
      <c r="P19" s="6" t="str">
        <f aca="false">IF(I19="","",B19&amp;"|"&amp;I19)</f>
        <v/>
      </c>
    </row>
    <row r="20" customFormat="false" ht="15" hidden="false" customHeight="false" outlineLevel="0" collapsed="false">
      <c r="A20" s="6" t="str">
        <f aca="false">Parameters!$B$204</f>
        <v>Dip</v>
      </c>
      <c r="B20" s="6" t="str">
        <f aca="false">Parameters!$C$204</f>
        <v>horizontal press</v>
      </c>
      <c r="C20" s="17" t="str">
        <f aca="false">IF(INDEX(Measurements!$E$2:$AH$69,MATCH("dip_load",Measurements!$A$2:$A$69,0),r_col)="","",INDEX(Measurements!$E$2:$AH$69,MATCH("dip_load",Measurements!$A$2:$A$69,0),r_col))</f>
        <v/>
      </c>
      <c r="D20" s="19" t="str">
        <f aca="false">IF(INDEX(Measurements!$E$2:$AH$69,MATCH("dip_reps",Measurements!$A$2:$A$69,0),r_col)="","",INT(INDEX(Measurements!$E$2:$AH$69,MATCH("dip_reps",Measurements!$A$2:$A$69,0),r_col)))</f>
        <v/>
      </c>
      <c r="E20" s="17" t="str">
        <f aca="false">IF(OR(C20="",D20=""),"",C20+IF(Parameters!$D$204=1,m_weight,0))</f>
        <v/>
      </c>
      <c r="F20" s="17" t="str">
        <f aca="false">IF(E20="","",E20*100/(p_wathan_a+p_wathan_b*EXP(-p_wathan_k*D20)))</f>
        <v/>
      </c>
      <c r="G20" s="17" t="str">
        <f aca="false">IF(F20="","",F20-IF(Parameters!$D$204=1,m_weight,0))</f>
        <v/>
      </c>
      <c r="H20" s="17" t="str">
        <f aca="false">IF(F20="","",IF((F20/Parameters!$F$204-Parameters!$AC$204*m_weight)/IF(Parameters!$E$204="",1,INDEX(Parameters!$G$196:$G$212,MATCH(Parameters!$E$204,Parameters!$A$196:$A$212,0)))&lt;=0,"",(F20/Parameters!$F$204-Parameters!$AC$204*m_weight)/IF(Parameters!$E$204="",1,INDEX(Parameters!$G$196:$G$212,MATCH(Parameters!$E$204,Parameters!$A$196:$A$212,0)))))</f>
        <v/>
      </c>
      <c r="I20" s="17" t="str">
        <f aca="false">IF(H20="","",H20*s_perkg)</f>
        <v/>
      </c>
      <c r="J20" s="6" t="str">
        <f aca="false">IF(I20="","",INDEX(t_names,MATCH(I20,t_mins,1)))</f>
        <v/>
      </c>
      <c r="K20" s="20" t="str">
        <f aca="false">IF(I20="","",I20/s_overall-1)</f>
        <v/>
      </c>
      <c r="L20" s="6" t="str">
        <f aca="false">IF(K20="","",IF(K20&gt;p_dev_tol,"strong",IF(K20&lt;-p_dev_tol,"weak","in line")))</f>
        <v/>
      </c>
      <c r="M20" s="7" t="str">
        <f aca="false">IF(AND(F20&lt;&gt;"",H20=""),"below the conversion's range: not scored","")</f>
        <v/>
      </c>
      <c r="N20" s="17" t="n">
        <f aca="false">IF(I20="",0,I20)</f>
        <v>0</v>
      </c>
      <c r="O20" s="6" t="n">
        <f aca="false">IF(I20="",0,1)</f>
        <v>0</v>
      </c>
      <c r="P20" s="6" t="str">
        <f aca="false">IF(I20="","",B20&amp;"|"&amp;I20)</f>
        <v/>
      </c>
    </row>
    <row r="21" customFormat="false" ht="15" hidden="false" customHeight="false" outlineLevel="0" collapsed="false">
      <c r="A21" s="6" t="str">
        <f aca="false">Parameters!$B$205</f>
        <v>Overhead press</v>
      </c>
      <c r="B21" s="6" t="str">
        <f aca="false">Parameters!$C$205</f>
        <v>vertical press</v>
      </c>
      <c r="C21" s="17" t="n">
        <f aca="false">IF(INDEX(Measurements!$E$2:$AH$69,MATCH("ohp_load",Measurements!$A$2:$A$69,0),r_col)="","",INDEX(Measurements!$E$2:$AH$69,MATCH("ohp_load",Measurements!$A$2:$A$69,0),r_col))</f>
        <v>25</v>
      </c>
      <c r="D21" s="19" t="n">
        <f aca="false">IF(INDEX(Measurements!$E$2:$AH$69,MATCH("ohp_reps",Measurements!$A$2:$A$69,0),r_col)="","",INT(INDEX(Measurements!$E$2:$AH$69,MATCH("ohp_reps",Measurements!$A$2:$A$69,0),r_col)))</f>
        <v>5</v>
      </c>
      <c r="E21" s="17" t="n">
        <f aca="false">IF(OR(C21="",D21=""),"",C21+IF(Parameters!$D$205=1,m_weight,0))</f>
        <v>25</v>
      </c>
      <c r="F21" s="17" t="n">
        <f aca="false">IF(E21="","",E21*100/(p_wathan_a+p_wathan_b*EXP(-p_wathan_k*D21)))</f>
        <v>29.1456263227973</v>
      </c>
      <c r="G21" s="17" t="n">
        <f aca="false">IF(F21="","",F21-IF(Parameters!$D$205=1,m_weight,0))</f>
        <v>29.1456263227973</v>
      </c>
      <c r="H21" s="17" t="n">
        <f aca="false">IF(F21="","",IF((F21/Parameters!$F$205-Parameters!$AC$205*m_weight)/IF(Parameters!$E$205="",1,INDEX(Parameters!$G$196:$G$212,MATCH(Parameters!$E$205,Parameters!$A$196:$A$212,0)))&lt;=0,"",(F21/Parameters!$F$205-Parameters!$AC$205*m_weight)/IF(Parameters!$E$205="",1,INDEX(Parameters!$G$196:$G$212,MATCH(Parameters!$E$205,Parameters!$A$196:$A$212,0)))))</f>
        <v>87.5244033717637</v>
      </c>
      <c r="I21" s="17" t="n">
        <f aca="false">IF(H21="","",H21*s_perkg)</f>
        <v>54.704314088535</v>
      </c>
      <c r="J21" s="6" t="str">
        <f aca="false">IF(I21="","",INDEX(t_names,MATCH(I21,t_mins,1)))</f>
        <v>Novice</v>
      </c>
      <c r="K21" s="20" t="n">
        <f aca="false">IF(I21="","",I21/s_overall-1)</f>
        <v>0.123843877298557</v>
      </c>
      <c r="L21" s="6" t="str">
        <f aca="false">IF(K21="","",IF(K21&gt;p_dev_tol,"strong",IF(K21&lt;-p_dev_tol,"weak","in line")))</f>
        <v>strong</v>
      </c>
      <c r="M21" s="7" t="str">
        <f aca="false">IF(AND(F21&lt;&gt;"",H21=""),"below the conversion's range: not scored","")</f>
        <v/>
      </c>
      <c r="N21" s="17" t="n">
        <f aca="false">IF(I21="",0,I21)</f>
        <v>54.704314088535</v>
      </c>
      <c r="O21" s="6" t="n">
        <f aca="false">IF(I21="",0,1)</f>
        <v>1</v>
      </c>
      <c r="P21" s="6" t="str">
        <f aca="false">IF(I21="","",B21&amp;"|"&amp;I21)</f>
        <v>vertical press|54.704314088535</v>
      </c>
    </row>
    <row r="22" customFormat="false" ht="15" hidden="false" customHeight="false" outlineLevel="0" collapsed="false">
      <c r="A22" s="6" t="str">
        <f aca="false">Parameters!$B$206</f>
        <v>Push press</v>
      </c>
      <c r="B22" s="6" t="str">
        <f aca="false">Parameters!$C$206</f>
        <v>vertical press</v>
      </c>
      <c r="C22" s="17" t="str">
        <f aca="false">IF(INDEX(Measurements!$E$2:$AH$69,MATCH("push_press_load",Measurements!$A$2:$A$69,0),r_col)="","",INDEX(Measurements!$E$2:$AH$69,MATCH("push_press_load",Measurements!$A$2:$A$69,0),r_col))</f>
        <v/>
      </c>
      <c r="D22" s="19" t="str">
        <f aca="false">IF(INDEX(Measurements!$E$2:$AH$69,MATCH("push_press_reps",Measurements!$A$2:$A$69,0),r_col)="","",INT(INDEX(Measurements!$E$2:$AH$69,MATCH("push_press_reps",Measurements!$A$2:$A$69,0),r_col)))</f>
        <v/>
      </c>
      <c r="E22" s="17" t="str">
        <f aca="false">IF(OR(C22="",D22=""),"",C22+IF(Parameters!$D$206=1,m_weight,0))</f>
        <v/>
      </c>
      <c r="F22" s="17" t="str">
        <f aca="false">IF(E22="","",E22*100/(p_wathan_a+p_wathan_b*EXP(-p_wathan_k*D22)))</f>
        <v/>
      </c>
      <c r="G22" s="17" t="str">
        <f aca="false">IF(F22="","",F22-IF(Parameters!$D$206=1,m_weight,0))</f>
        <v/>
      </c>
      <c r="H22" s="17" t="str">
        <f aca="false">IF(F22="","",IF((F22/Parameters!$F$206-Parameters!$AC$206*m_weight)/IF(Parameters!$E$206="",1,INDEX(Parameters!$G$196:$G$212,MATCH(Parameters!$E$206,Parameters!$A$196:$A$212,0)))&lt;=0,"",(F22/Parameters!$F$206-Parameters!$AC$206*m_weight)/IF(Parameters!$E$206="",1,INDEX(Parameters!$G$196:$G$212,MATCH(Parameters!$E$206,Parameters!$A$196:$A$212,0)))))</f>
        <v/>
      </c>
      <c r="I22" s="17" t="str">
        <f aca="false">IF(H22="","",H22*s_perkg)</f>
        <v/>
      </c>
      <c r="J22" s="6" t="str">
        <f aca="false">IF(I22="","",INDEX(t_names,MATCH(I22,t_mins,1)))</f>
        <v/>
      </c>
      <c r="K22" s="20" t="str">
        <f aca="false">IF(I22="","",I22/s_overall-1)</f>
        <v/>
      </c>
      <c r="L22" s="6" t="str">
        <f aca="false">IF(K22="","",IF(K22&gt;p_dev_tol,"strong",IF(K22&lt;-p_dev_tol,"weak","in line")))</f>
        <v/>
      </c>
      <c r="M22" s="7" t="str">
        <f aca="false">IF(AND(F22&lt;&gt;"",H22=""),"below the conversion's range: not scored","")</f>
        <v/>
      </c>
      <c r="N22" s="17" t="n">
        <f aca="false">IF(I22="",0,I22)</f>
        <v>0</v>
      </c>
      <c r="O22" s="6" t="n">
        <f aca="false">IF(I22="",0,1)</f>
        <v>0</v>
      </c>
      <c r="P22" s="6" t="str">
        <f aca="false">IF(I22="","",B22&amp;"|"&amp;I22)</f>
        <v/>
      </c>
    </row>
    <row r="23" customFormat="false" ht="15" hidden="false" customHeight="false" outlineLevel="0" collapsed="false">
      <c r="A23" s="6" t="str">
        <f aca="false">Parameters!$B$207</f>
        <v>Snatch press</v>
      </c>
      <c r="B23" s="6" t="str">
        <f aca="false">Parameters!$C$207</f>
        <v>vertical press</v>
      </c>
      <c r="C23" s="17" t="str">
        <f aca="false">IF(INDEX(Measurements!$E$2:$AH$69,MATCH("snatch_press_load",Measurements!$A$2:$A$69,0),r_col)="","",INDEX(Measurements!$E$2:$AH$69,MATCH("snatch_press_load",Measurements!$A$2:$A$69,0),r_col))</f>
        <v/>
      </c>
      <c r="D23" s="19" t="str">
        <f aca="false">IF(INDEX(Measurements!$E$2:$AH$69,MATCH("snatch_press_reps",Measurements!$A$2:$A$69,0),r_col)="","",INT(INDEX(Measurements!$E$2:$AH$69,MATCH("snatch_press_reps",Measurements!$A$2:$A$69,0),r_col)))</f>
        <v/>
      </c>
      <c r="E23" s="17" t="str">
        <f aca="false">IF(OR(C23="",D23=""),"",C23+IF(Parameters!$D$207=1,m_weight,0))</f>
        <v/>
      </c>
      <c r="F23" s="17" t="str">
        <f aca="false">IF(E23="","",E23*100/(p_wathan_a+p_wathan_b*EXP(-p_wathan_k*D23)))</f>
        <v/>
      </c>
      <c r="G23" s="17" t="str">
        <f aca="false">IF(F23="","",F23-IF(Parameters!$D$207=1,m_weight,0))</f>
        <v/>
      </c>
      <c r="H23" s="17" t="str">
        <f aca="false">IF(F23="","",IF((F23/Parameters!$F$207-Parameters!$AC$207*m_weight)/IF(Parameters!$E$207="",1,INDEX(Parameters!$G$196:$G$212,MATCH(Parameters!$E$207,Parameters!$A$196:$A$212,0)))&lt;=0,"",(F23/Parameters!$F$207-Parameters!$AC$207*m_weight)/IF(Parameters!$E$207="",1,INDEX(Parameters!$G$196:$G$212,MATCH(Parameters!$E$207,Parameters!$A$196:$A$212,0)))))</f>
        <v/>
      </c>
      <c r="I23" s="17" t="str">
        <f aca="false">IF(H23="","",H23*s_perkg)</f>
        <v/>
      </c>
      <c r="J23" s="6" t="str">
        <f aca="false">IF(I23="","",INDEX(t_names,MATCH(I23,t_mins,1)))</f>
        <v/>
      </c>
      <c r="K23" s="20" t="str">
        <f aca="false">IF(I23="","",I23/s_overall-1)</f>
        <v/>
      </c>
      <c r="L23" s="6" t="str">
        <f aca="false">IF(K23="","",IF(K23&gt;p_dev_tol,"strong",IF(K23&lt;-p_dev_tol,"weak","in line")))</f>
        <v/>
      </c>
      <c r="M23" s="7" t="str">
        <f aca="false">IF(AND(F23&lt;&gt;"",H23=""),"below the conversion's range: not scored","")</f>
        <v/>
      </c>
      <c r="N23" s="17" t="n">
        <f aca="false">IF(I23="",0,I23)</f>
        <v>0</v>
      </c>
      <c r="O23" s="6" t="n">
        <f aca="false">IF(I23="",0,1)</f>
        <v>0</v>
      </c>
      <c r="P23" s="6" t="str">
        <f aca="false">IF(I23="","",B23&amp;"|"&amp;I23)</f>
        <v/>
      </c>
    </row>
    <row r="24" customFormat="false" ht="15" hidden="false" customHeight="false" outlineLevel="0" collapsed="false">
      <c r="A24" s="6" t="str">
        <f aca="false">Parameters!$B$208</f>
        <v>Chin-up</v>
      </c>
      <c r="B24" s="6" t="str">
        <f aca="false">Parameters!$C$208</f>
        <v>pull</v>
      </c>
      <c r="C24" s="17" t="n">
        <f aca="false">IF(INDEX(Measurements!$E$2:$AH$69,MATCH("chin_up_load",Measurements!$A$2:$A$69,0),r_col)="","",INDEX(Measurements!$E$2:$AH$69,MATCH("chin_up_load",Measurements!$A$2:$A$69,0),r_col))</f>
        <v>-30</v>
      </c>
      <c r="D24" s="19" t="n">
        <f aca="false">IF(INDEX(Measurements!$E$2:$AH$69,MATCH("chin_up_reps",Measurements!$A$2:$A$69,0),r_col)="","",INT(INDEX(Measurements!$E$2:$AH$69,MATCH("chin_up_reps",Measurements!$A$2:$A$69,0),r_col)))</f>
        <v>5</v>
      </c>
      <c r="E24" s="17" t="n">
        <f aca="false">IF(OR(C24="",D24=""),"",C24+IF(Parameters!$D$208=1,m_weight,0))</f>
        <v>36</v>
      </c>
      <c r="F24" s="17" t="n">
        <f aca="false">IF(E24="","",E24*100/(p_wathan_a+p_wathan_b*EXP(-p_wathan_k*D24)))</f>
        <v>41.9697019048281</v>
      </c>
      <c r="G24" s="17" t="n">
        <f aca="false">IF(F24="","",F24-IF(Parameters!$D$208=1,m_weight,0))</f>
        <v>-24.0302980951719</v>
      </c>
      <c r="H24" s="17" t="n">
        <f aca="false">IF(F24="","",IF((F24/Parameters!$F$208-Parameters!$AC$208*m_weight)/IF(Parameters!$E$208="",1,INDEX(Parameters!$G$196:$G$212,MATCH(Parameters!$E$208,Parameters!$A$196:$A$212,0)))&lt;=0,"",(F24/Parameters!$F$208-Parameters!$AC$208*m_weight)/IF(Parameters!$E$208="",1,INDEX(Parameters!$G$196:$G$212,MATCH(Parameters!$E$208,Parameters!$A$196:$A$212,0)))))</f>
        <v>84.3985318227721</v>
      </c>
      <c r="I24" s="17" t="n">
        <f aca="false">IF(H24="","",H24*s_perkg)</f>
        <v>52.750588585373</v>
      </c>
      <c r="J24" s="6" t="str">
        <f aca="false">IF(I24="","",INDEX(t_names,MATCH(I24,t_mins,1)))</f>
        <v>Novice</v>
      </c>
      <c r="K24" s="20" t="n">
        <f aca="false">IF(I24="","",I24/s_overall-1)</f>
        <v>0.0837065959664654</v>
      </c>
      <c r="L24" s="6" t="str">
        <f aca="false">IF(K24="","",IF(K24&gt;p_dev_tol,"strong",IF(K24&lt;-p_dev_tol,"weak","in line")))</f>
        <v>in line</v>
      </c>
      <c r="M24" s="7" t="str">
        <f aca="false">IF(AND(F24&lt;&gt;"",H24=""),"below the conversion's range: not scored","")</f>
        <v/>
      </c>
      <c r="N24" s="17" t="n">
        <f aca="false">IF(I24="",0,I24)</f>
        <v>52.750588585373</v>
      </c>
      <c r="O24" s="6" t="n">
        <f aca="false">IF(I24="",0,1)</f>
        <v>1</v>
      </c>
      <c r="P24" s="6" t="str">
        <f aca="false">IF(I24="","",B24&amp;"|"&amp;I24)</f>
        <v>pull|52.750588585373</v>
      </c>
    </row>
    <row r="25" customFormat="false" ht="15" hidden="false" customHeight="false" outlineLevel="0" collapsed="false">
      <c r="A25" s="6" t="str">
        <f aca="false">Parameters!$B$209</f>
        <v>Pull-up</v>
      </c>
      <c r="B25" s="6" t="str">
        <f aca="false">Parameters!$C$209</f>
        <v>pull</v>
      </c>
      <c r="C25" s="17" t="str">
        <f aca="false">IF(INDEX(Measurements!$E$2:$AH$69,MATCH("pull_up_load",Measurements!$A$2:$A$69,0),r_col)="","",INDEX(Measurements!$E$2:$AH$69,MATCH("pull_up_load",Measurements!$A$2:$A$69,0),r_col))</f>
        <v/>
      </c>
      <c r="D25" s="19" t="str">
        <f aca="false">IF(INDEX(Measurements!$E$2:$AH$69,MATCH("pull_up_reps",Measurements!$A$2:$A$69,0),r_col)="","",INT(INDEX(Measurements!$E$2:$AH$69,MATCH("pull_up_reps",Measurements!$A$2:$A$69,0),r_col)))</f>
        <v/>
      </c>
      <c r="E25" s="17" t="str">
        <f aca="false">IF(OR(C25="",D25=""),"",C25+IF(Parameters!$D$209=1,m_weight,0))</f>
        <v/>
      </c>
      <c r="F25" s="17" t="str">
        <f aca="false">IF(E25="","",E25*100/(p_wathan_a+p_wathan_b*EXP(-p_wathan_k*D25)))</f>
        <v/>
      </c>
      <c r="G25" s="17" t="str">
        <f aca="false">IF(F25="","",F25-IF(Parameters!$D$209=1,m_weight,0))</f>
        <v/>
      </c>
      <c r="H25" s="17" t="str">
        <f aca="false">IF(F25="","",IF((F25/Parameters!$F$209-Parameters!$AC$209*m_weight)/IF(Parameters!$E$209="",1,INDEX(Parameters!$G$196:$G$212,MATCH(Parameters!$E$209,Parameters!$A$196:$A$212,0)))&lt;=0,"",(F25/Parameters!$F$209-Parameters!$AC$209*m_weight)/IF(Parameters!$E$209="",1,INDEX(Parameters!$G$196:$G$212,MATCH(Parameters!$E$209,Parameters!$A$196:$A$212,0)))))</f>
        <v/>
      </c>
      <c r="I25" s="17" t="str">
        <f aca="false">IF(H25="","",H25*s_perkg)</f>
        <v/>
      </c>
      <c r="J25" s="6" t="str">
        <f aca="false">IF(I25="","",INDEX(t_names,MATCH(I25,t_mins,1)))</f>
        <v/>
      </c>
      <c r="K25" s="20" t="str">
        <f aca="false">IF(I25="","",I25/s_overall-1)</f>
        <v/>
      </c>
      <c r="L25" s="6" t="str">
        <f aca="false">IF(K25="","",IF(K25&gt;p_dev_tol,"strong",IF(K25&lt;-p_dev_tol,"weak","in line")))</f>
        <v/>
      </c>
      <c r="M25" s="7" t="str">
        <f aca="false">IF(AND(F25&lt;&gt;"",H25=""),"below the conversion's range: not scored","")</f>
        <v/>
      </c>
      <c r="N25" s="17" t="n">
        <f aca="false">IF(I25="",0,I25)</f>
        <v>0</v>
      </c>
      <c r="O25" s="6" t="n">
        <f aca="false">IF(I25="",0,1)</f>
        <v>0</v>
      </c>
      <c r="P25" s="6" t="str">
        <f aca="false">IF(I25="","",B25&amp;"|"&amp;I25)</f>
        <v/>
      </c>
    </row>
    <row r="26" customFormat="false" ht="15" hidden="false" customHeight="false" outlineLevel="0" collapsed="false">
      <c r="A26" s="6" t="str">
        <f aca="false">Parameters!$B$210</f>
        <v>Pendlay row</v>
      </c>
      <c r="B26" s="6" t="str">
        <f aca="false">Parameters!$C$210</f>
        <v>pull</v>
      </c>
      <c r="C26" s="17" t="str">
        <f aca="false">IF(INDEX(Measurements!$E$2:$AH$69,MATCH("pendlay_row_load",Measurements!$A$2:$A$69,0),r_col)="","",INDEX(Measurements!$E$2:$AH$69,MATCH("pendlay_row_load",Measurements!$A$2:$A$69,0),r_col))</f>
        <v/>
      </c>
      <c r="D26" s="19" t="str">
        <f aca="false">IF(INDEX(Measurements!$E$2:$AH$69,MATCH("pendlay_row_reps",Measurements!$A$2:$A$69,0),r_col)="","",INT(INDEX(Measurements!$E$2:$AH$69,MATCH("pendlay_row_reps",Measurements!$A$2:$A$69,0),r_col)))</f>
        <v/>
      </c>
      <c r="E26" s="17" t="str">
        <f aca="false">IF(OR(C26="",D26=""),"",C26+IF(Parameters!$D$210=1,m_weight,0))</f>
        <v/>
      </c>
      <c r="F26" s="17" t="str">
        <f aca="false">IF(E26="","",E26*100/(p_wathan_a+p_wathan_b*EXP(-p_wathan_k*D26)))</f>
        <v/>
      </c>
      <c r="G26" s="17" t="str">
        <f aca="false">IF(F26="","",F26-IF(Parameters!$D$210=1,m_weight,0))</f>
        <v/>
      </c>
      <c r="H26" s="17" t="str">
        <f aca="false">IF(F26="","",IF((F26/Parameters!$F$210-Parameters!$AC$210*m_weight)/IF(Parameters!$E$210="",1,INDEX(Parameters!$G$196:$G$212,MATCH(Parameters!$E$210,Parameters!$A$196:$A$212,0)))&lt;=0,"",(F26/Parameters!$F$210-Parameters!$AC$210*m_weight)/IF(Parameters!$E$210="",1,INDEX(Parameters!$G$196:$G$212,MATCH(Parameters!$E$210,Parameters!$A$196:$A$212,0)))))</f>
        <v/>
      </c>
      <c r="I26" s="17" t="str">
        <f aca="false">IF(H26="","",H26*s_perkg)</f>
        <v/>
      </c>
      <c r="J26" s="6" t="str">
        <f aca="false">IF(I26="","",INDEX(t_names,MATCH(I26,t_mins,1)))</f>
        <v/>
      </c>
      <c r="K26" s="20" t="str">
        <f aca="false">IF(I26="","",I26/s_overall-1)</f>
        <v/>
      </c>
      <c r="L26" s="6" t="str">
        <f aca="false">IF(K26="","",IF(K26&gt;p_dev_tol,"strong",IF(K26&lt;-p_dev_tol,"weak","in line")))</f>
        <v/>
      </c>
      <c r="M26" s="7" t="str">
        <f aca="false">IF(AND(F26&lt;&gt;"",H26=""),"below the conversion's range: not scored","")</f>
        <v/>
      </c>
      <c r="N26" s="17" t="n">
        <f aca="false">IF(I26="",0,I26)</f>
        <v>0</v>
      </c>
      <c r="O26" s="6" t="n">
        <f aca="false">IF(I26="",0,1)</f>
        <v>0</v>
      </c>
      <c r="P26" s="6" t="str">
        <f aca="false">IF(I26="","",B26&amp;"|"&amp;I26)</f>
        <v/>
      </c>
    </row>
    <row r="27" customFormat="false" ht="15" hidden="false" customHeight="false" outlineLevel="0" collapsed="false">
      <c r="A27" s="6" t="str">
        <f aca="false">Parameters!$B$211</f>
        <v>Lat pulldown</v>
      </c>
      <c r="B27" s="6" t="str">
        <f aca="false">Parameters!$C$211</f>
        <v>pull</v>
      </c>
      <c r="C27" s="17" t="str">
        <f aca="false">IF(INDEX(Measurements!$E$2:$AH$69,MATCH("lat_pulldown_load",Measurements!$A$2:$A$69,0),r_col)="","",INDEX(Measurements!$E$2:$AH$69,MATCH("lat_pulldown_load",Measurements!$A$2:$A$69,0),r_col))</f>
        <v/>
      </c>
      <c r="D27" s="19" t="str">
        <f aca="false">IF(INDEX(Measurements!$E$2:$AH$69,MATCH("lat_pulldown_reps",Measurements!$A$2:$A$69,0),r_col)="","",INT(INDEX(Measurements!$E$2:$AH$69,MATCH("lat_pulldown_reps",Measurements!$A$2:$A$69,0),r_col)))</f>
        <v/>
      </c>
      <c r="E27" s="17" t="str">
        <f aca="false">IF(OR(C27="",D27=""),"",C27+IF(Parameters!$D$211=1,m_weight,0))</f>
        <v/>
      </c>
      <c r="F27" s="17" t="str">
        <f aca="false">IF(E27="","",E27*100/(p_wathan_a+p_wathan_b*EXP(-p_wathan_k*D27)))</f>
        <v/>
      </c>
      <c r="G27" s="17" t="str">
        <f aca="false">IF(F27="","",F27-IF(Parameters!$D$211=1,m_weight,0))</f>
        <v/>
      </c>
      <c r="H27" s="17" t="str">
        <f aca="false">IF(F27="","",IF((F27/Parameters!$F$211-Parameters!$AC$211*m_weight)/IF(Parameters!$E$211="",1,INDEX(Parameters!$G$196:$G$212,MATCH(Parameters!$E$211,Parameters!$A$196:$A$212,0)))&lt;=0,"",(F27/Parameters!$F$211-Parameters!$AC$211*m_weight)/IF(Parameters!$E$211="",1,INDEX(Parameters!$G$196:$G$212,MATCH(Parameters!$E$211,Parameters!$A$196:$A$212,0)))))</f>
        <v/>
      </c>
      <c r="I27" s="17" t="str">
        <f aca="false">IF(H27="","",H27*s_perkg)</f>
        <v/>
      </c>
      <c r="J27" s="6" t="str">
        <f aca="false">IF(I27="","",INDEX(t_names,MATCH(I27,t_mins,1)))</f>
        <v/>
      </c>
      <c r="K27" s="20" t="str">
        <f aca="false">IF(I27="","",I27/s_overall-1)</f>
        <v/>
      </c>
      <c r="L27" s="6" t="str">
        <f aca="false">IF(K27="","",IF(K27&gt;p_dev_tol,"strong",IF(K27&lt;-p_dev_tol,"weak","in line")))</f>
        <v/>
      </c>
      <c r="M27" s="7" t="str">
        <f aca="false">IF(AND(F27&lt;&gt;"",H27=""),"below the conversion's range: not scored","")</f>
        <v/>
      </c>
      <c r="N27" s="17" t="n">
        <f aca="false">IF(I27="",0,I27)</f>
        <v>0</v>
      </c>
      <c r="O27" s="6" t="n">
        <f aca="false">IF(I27="",0,1)</f>
        <v>0</v>
      </c>
      <c r="P27" s="6" t="str">
        <f aca="false">IF(I27="","",B27&amp;"|"&amp;I27)</f>
        <v/>
      </c>
    </row>
    <row r="28" customFormat="false" ht="15" hidden="false" customHeight="false" outlineLevel="0" collapsed="false">
      <c r="A28" s="6" t="str">
        <f aca="false">Parameters!$B$212</f>
        <v>Seated cable row</v>
      </c>
      <c r="B28" s="6" t="str">
        <f aca="false">Parameters!$C$212</f>
        <v>pull</v>
      </c>
      <c r="C28" s="17" t="str">
        <f aca="false">IF(INDEX(Measurements!$E$2:$AH$69,MATCH("seated_cable_row_load",Measurements!$A$2:$A$69,0),r_col)="","",INDEX(Measurements!$E$2:$AH$69,MATCH("seated_cable_row_load",Measurements!$A$2:$A$69,0),r_col))</f>
        <v/>
      </c>
      <c r="D28" s="19" t="str">
        <f aca="false">IF(INDEX(Measurements!$E$2:$AH$69,MATCH("seated_cable_row_reps",Measurements!$A$2:$A$69,0),r_col)="","",INT(INDEX(Measurements!$E$2:$AH$69,MATCH("seated_cable_row_reps",Measurements!$A$2:$A$69,0),r_col)))</f>
        <v/>
      </c>
      <c r="E28" s="17" t="str">
        <f aca="false">IF(OR(C28="",D28=""),"",C28+IF(Parameters!$D$212=1,m_weight,0))</f>
        <v/>
      </c>
      <c r="F28" s="17" t="str">
        <f aca="false">IF(E28="","",E28*100/(p_wathan_a+p_wathan_b*EXP(-p_wathan_k*D28)))</f>
        <v/>
      </c>
      <c r="G28" s="17" t="str">
        <f aca="false">IF(F28="","",F28-IF(Parameters!$D$212=1,m_weight,0))</f>
        <v/>
      </c>
      <c r="H28" s="17" t="str">
        <f aca="false">IF(F28="","",IF((F28/Parameters!$F$212-Parameters!$AC$212*m_weight)/IF(Parameters!$E$212="",1,INDEX(Parameters!$G$196:$G$212,MATCH(Parameters!$E$212,Parameters!$A$196:$A$212,0)))&lt;=0,"",(F28/Parameters!$F$212-Parameters!$AC$212*m_weight)/IF(Parameters!$E$212="",1,INDEX(Parameters!$G$196:$G$212,MATCH(Parameters!$E$212,Parameters!$A$196:$A$212,0)))))</f>
        <v/>
      </c>
      <c r="I28" s="17" t="str">
        <f aca="false">IF(H28="","",H28*s_perkg)</f>
        <v/>
      </c>
      <c r="J28" s="6" t="str">
        <f aca="false">IF(I28="","",INDEX(t_names,MATCH(I28,t_mins,1)))</f>
        <v/>
      </c>
      <c r="K28" s="20" t="str">
        <f aca="false">IF(I28="","",I28/s_overall-1)</f>
        <v/>
      </c>
      <c r="L28" s="6" t="str">
        <f aca="false">IF(K28="","",IF(K28&gt;p_dev_tol,"strong",IF(K28&lt;-p_dev_tol,"weak","in line")))</f>
        <v/>
      </c>
      <c r="M28" s="7" t="str">
        <f aca="false">IF(AND(F28&lt;&gt;"",H28=""),"below the conversion's range: not scored","")</f>
        <v/>
      </c>
      <c r="N28" s="17" t="n">
        <f aca="false">IF(I28="",0,I28)</f>
        <v>0</v>
      </c>
      <c r="O28" s="6" t="n">
        <f aca="false">IF(I28="",0,1)</f>
        <v>0</v>
      </c>
      <c r="P28" s="6" t="str">
        <f aca="false">IF(I28="","",B28&amp;"|"&amp;I28)</f>
        <v/>
      </c>
    </row>
    <row r="29" customFormat="false" ht="15" hidden="false" customHeight="false" outlineLevel="0" collapsed="false">
      <c r="A29" s="7" t="s">
        <v>834</v>
      </c>
    </row>
    <row r="31" customFormat="false" ht="16.15" hidden="false" customHeight="false" outlineLevel="0" collapsed="false">
      <c r="A31" s="11" t="s">
        <v>835</v>
      </c>
    </row>
    <row r="32" customFormat="false" ht="15" hidden="false" customHeight="false" outlineLevel="0" collapsed="false">
      <c r="A32" s="4" t="s">
        <v>306</v>
      </c>
      <c r="B32" s="4" t="s">
        <v>836</v>
      </c>
      <c r="C32" s="4" t="s">
        <v>310</v>
      </c>
      <c r="D32" s="4" t="s">
        <v>307</v>
      </c>
      <c r="E32" s="4" t="s">
        <v>308</v>
      </c>
      <c r="F32" s="4" t="s">
        <v>830</v>
      </c>
      <c r="G32" s="4" t="s">
        <v>232</v>
      </c>
      <c r="H32" s="4" t="s">
        <v>309</v>
      </c>
    </row>
    <row r="33" customFormat="false" ht="15" hidden="false" customHeight="false" outlineLevel="0" collapsed="false">
      <c r="A33" s="6" t="s">
        <v>311</v>
      </c>
      <c r="B33" s="17" t="n">
        <f aca="false">IF(COUNTIFS($B$12:$B$28,A33,$O$12:$O$28,1)=0,"",_xlfn.MAXIFS($N$12:$N$28,$B$12:$B$28,A33))</f>
        <v>43.3727061701956</v>
      </c>
      <c r="C33" s="6" t="str">
        <f aca="false">IF(B33="","",INDEX(t_names,MATCH(B33,t_mins,1)))</f>
        <v>Untrained</v>
      </c>
      <c r="D33" s="6" t="str">
        <f aca="false">IF(B33="","",INDEX($A$12:$A$28,MATCH(A33&amp;"|"&amp;B33,$P$12:$P$28,0)))</f>
        <v>Back squat</v>
      </c>
      <c r="E33" s="20" t="n">
        <f aca="false">IF(B33="","",B33/s_overall-1)</f>
        <v>-0.108952354427573</v>
      </c>
      <c r="F33" s="17" t="n">
        <f aca="false">IF(B33="","",B33/s_perkg)</f>
        <v>69.3943483876126</v>
      </c>
      <c r="G33" s="14" t="n">
        <f aca="false">IF(B33="","",LN(B33))</f>
        <v>3.76983035318438</v>
      </c>
      <c r="H33" s="6" t="str">
        <f aca="false">IF(E33="","",IF(E33&gt;p_dev_tol,"strong",IF(E33&lt;-p_dev_tol,"weak","in line")))</f>
        <v>weak</v>
      </c>
    </row>
    <row r="34" customFormat="false" ht="15" hidden="false" customHeight="false" outlineLevel="0" collapsed="false">
      <c r="A34" s="6" t="s">
        <v>312</v>
      </c>
      <c r="B34" s="17" t="n">
        <f aca="false">IF(COUNTIFS($B$12:$B$28,A34,$O$12:$O$28,1)=0,"",_xlfn.MAXIFS($N$12:$N$28,$B$12:$B$28,A34))</f>
        <v>51.00630245615</v>
      </c>
      <c r="C34" s="6" t="str">
        <f aca="false">IF(B34="","",INDEX(t_names,MATCH(B34,t_mins,1)))</f>
        <v>Novice</v>
      </c>
      <c r="D34" s="6" t="str">
        <f aca="false">IF(B34="","",INDEX($A$12:$A$28,MATCH(A34&amp;"|"&amp;B34,$P$12:$P$28,0)))</f>
        <v>Deadlift</v>
      </c>
      <c r="E34" s="20" t="n">
        <f aca="false">IF(B34="","",B34/s_overall-1)</f>
        <v>0.047872031193174</v>
      </c>
      <c r="F34" s="17" t="n">
        <f aca="false">IF(B34="","",B34/s_perkg)</f>
        <v>81.6077537038325</v>
      </c>
      <c r="G34" s="14" t="n">
        <f aca="false">IF(B34="","",LN(B34))</f>
        <v>3.93194920266082</v>
      </c>
      <c r="H34" s="6" t="str">
        <f aca="false">IF(E34="","",IF(E34&gt;p_dev_tol,"strong",IF(E34&lt;-p_dev_tol,"weak","in line")))</f>
        <v>in line</v>
      </c>
    </row>
    <row r="35" customFormat="false" ht="15" hidden="false" customHeight="false" outlineLevel="0" collapsed="false">
      <c r="A35" s="6" t="s">
        <v>313</v>
      </c>
      <c r="B35" s="17" t="n">
        <f aca="false">IF(COUNTIFS($B$12:$B$28,A35,$O$12:$O$28,1)=0,"",_xlfn.MAXIFS($N$12:$N$28,$B$12:$B$28,A35))</f>
        <v>41.5464869630295</v>
      </c>
      <c r="C35" s="6" t="str">
        <f aca="false">IF(B35="","",INDEX(t_names,MATCH(B35,t_mins,1)))</f>
        <v>Untrained</v>
      </c>
      <c r="D35" s="6" t="str">
        <f aca="false">IF(B35="","",INDEX($A$12:$A$28,MATCH(A35&amp;"|"&amp;B35,$P$12:$P$28,0)))</f>
        <v>Bench press</v>
      </c>
      <c r="E35" s="20" t="n">
        <f aca="false">IF(B35="","",B35/s_overall-1)</f>
        <v>-0.146470150030622</v>
      </c>
      <c r="F35" s="17" t="n">
        <f aca="false">IF(B35="","",B35/s_perkg)</f>
        <v>66.4724810870816</v>
      </c>
      <c r="G35" s="14" t="n">
        <f aca="false">IF(B35="","",LN(B35))</f>
        <v>3.72681296810069</v>
      </c>
      <c r="H35" s="6" t="str">
        <f aca="false">IF(E35="","",IF(E35&gt;p_dev_tol,"strong",IF(E35&lt;-p_dev_tol,"weak","in line")))</f>
        <v>weak</v>
      </c>
    </row>
    <row r="36" customFormat="false" ht="15" hidden="false" customHeight="false" outlineLevel="0" collapsed="false">
      <c r="A36" s="6" t="s">
        <v>314</v>
      </c>
      <c r="B36" s="17" t="n">
        <f aca="false">IF(COUNTIFS($B$12:$B$28,A36,$O$12:$O$28,1)=0,"",_xlfn.MAXIFS($N$12:$N$28,$B$12:$B$28,A36))</f>
        <v>54.704314088535</v>
      </c>
      <c r="C36" s="6" t="str">
        <f aca="false">IF(B36="","",INDEX(t_names,MATCH(B36,t_mins,1)))</f>
        <v>Novice</v>
      </c>
      <c r="D36" s="6" t="str">
        <f aca="false">IF(B36="","",INDEX($A$12:$A$28,MATCH(A36&amp;"|"&amp;B36,$P$12:$P$28,0)))</f>
        <v>Overhead press</v>
      </c>
      <c r="E36" s="20" t="n">
        <f aca="false">IF(B36="","",B36/s_overall-1)</f>
        <v>0.123843877298557</v>
      </c>
      <c r="F36" s="17" t="n">
        <f aca="false">IF(B36="","",B36/s_perkg)</f>
        <v>87.5244033717637</v>
      </c>
      <c r="G36" s="14" t="n">
        <f aca="false">IF(B36="","",LN(B36))</f>
        <v>4.00194257448135</v>
      </c>
      <c r="H36" s="6" t="str">
        <f aca="false">IF(E36="","",IF(E36&gt;p_dev_tol,"strong",IF(E36&lt;-p_dev_tol,"weak","in line")))</f>
        <v>strong</v>
      </c>
    </row>
    <row r="37" customFormat="false" ht="15" hidden="false" customHeight="false" outlineLevel="0" collapsed="false">
      <c r="A37" s="6" t="s">
        <v>315</v>
      </c>
      <c r="B37" s="17" t="n">
        <f aca="false">IF(COUNTIFS($B$12:$B$28,A37,$O$12:$O$28,1)=0,"",_xlfn.MAXIFS($N$12:$N$28,$B$12:$B$28,A37))</f>
        <v>52.750588585373</v>
      </c>
      <c r="C37" s="6" t="str">
        <f aca="false">IF(B37="","",INDEX(t_names,MATCH(B37,t_mins,1)))</f>
        <v>Novice</v>
      </c>
      <c r="D37" s="6" t="str">
        <f aca="false">IF(B37="","",INDEX($A$12:$A$28,MATCH(A37&amp;"|"&amp;B37,$P$12:$P$28,0)))</f>
        <v>Chin-up</v>
      </c>
      <c r="E37" s="20" t="n">
        <f aca="false">IF(B37="","",B37/s_overall-1)</f>
        <v>0.0837065959664654</v>
      </c>
      <c r="F37" s="17" t="n">
        <f aca="false">IF(B37="","",B37/s_perkg)</f>
        <v>84.3985318227721</v>
      </c>
      <c r="G37" s="14" t="n">
        <f aca="false">IF(B37="","",LN(B37))</f>
        <v>3.96557493031048</v>
      </c>
      <c r="H37" s="6" t="str">
        <f aca="false">IF(E37="","",IF(E37&gt;p_dev_tol,"strong",IF(E37&lt;-p_dev_tol,"weak","in line")))</f>
        <v>in line</v>
      </c>
    </row>
    <row r="39" customFormat="false" ht="15" hidden="false" customHeight="false" outlineLevel="0" collapsed="false">
      <c r="A39" s="12" t="s">
        <v>837</v>
      </c>
      <c r="B39" s="17" t="n">
        <f aca="false">AVERAGE($B$33:$B$37)</f>
        <v>48.6760796526566</v>
      </c>
    </row>
    <row r="40" customFormat="false" ht="15" hidden="false" customHeight="false" outlineLevel="0" collapsed="false">
      <c r="A40" s="12" t="s">
        <v>838</v>
      </c>
      <c r="B40" s="6" t="str">
        <f aca="false">INDEX(t_names,MATCH(s_overall,t_mins,1))</f>
        <v>Novice</v>
      </c>
    </row>
    <row r="41" customFormat="false" ht="15" hidden="false" customHeight="false" outlineLevel="0" collapsed="false">
      <c r="A41" s="12" t="s">
        <v>839</v>
      </c>
      <c r="B41" s="17" t="n">
        <f aca="false">EXP(AVERAGE($G$33:$G$37))</f>
        <v>48.3865559615249</v>
      </c>
    </row>
    <row r="42" customFormat="false" ht="15" hidden="false" customHeight="false" outlineLevel="0" collapsed="false">
      <c r="A42" s="12" t="s">
        <v>840</v>
      </c>
      <c r="B42" s="17" t="n">
        <f aca="false">100*s_gm/s_overall</f>
        <v>99.4052033499869</v>
      </c>
    </row>
    <row r="43" customFormat="false" ht="15" hidden="false" customHeight="false" outlineLevel="0" collapsed="false">
      <c r="A43" s="12" t="s">
        <v>841</v>
      </c>
      <c r="B43" s="19" t="n">
        <f aca="false">COUNT($B$33:$B$37)</f>
        <v>5</v>
      </c>
    </row>
    <row r="44" customFormat="false" ht="15" hidden="false" customHeight="false" outlineLevel="0" collapsed="false">
      <c r="A44" s="12" t="s">
        <v>842</v>
      </c>
      <c r="B44" s="6" t="str">
        <f aca="false">INDEX($A$12:$A$28,MATCH(MAX($I$12:$I$28),$I$12:$I$28,0))</f>
        <v>Overhead press</v>
      </c>
    </row>
    <row r="45" customFormat="false" ht="15" hidden="false" customHeight="false" outlineLevel="0" collapsed="false">
      <c r="A45" s="12" t="s">
        <v>843</v>
      </c>
      <c r="B45" s="6" t="str">
        <f aca="false">INDEX($A$12:$A$28,MATCH(MIN($I$12:$I$28),$I$12:$I$28,0))</f>
        <v>45-degree leg press</v>
      </c>
    </row>
    <row r="46" customFormat="false" ht="15" hidden="false" customHeight="false" outlineLevel="0" collapsed="false">
      <c r="A46" s="7" t="s">
        <v>844</v>
      </c>
    </row>
    <row r="48" customFormat="false" ht="16.15" hidden="false" customHeight="false" outlineLevel="0" collapsed="false">
      <c r="A48" s="11" t="s">
        <v>845</v>
      </c>
    </row>
    <row r="49" customFormat="false" ht="15" hidden="false" customHeight="false" outlineLevel="0" collapsed="false">
      <c r="A49" s="6" t="s">
        <v>846</v>
      </c>
      <c r="B49" s="17" t="n">
        <f aca="false">IF(F33="","",F33*pl_ratio_squat)</f>
        <v>58.2912526455946</v>
      </c>
    </row>
    <row r="50" customFormat="false" ht="15" hidden="false" customHeight="false" outlineLevel="0" collapsed="false">
      <c r="A50" s="6" t="s">
        <v>847</v>
      </c>
      <c r="B50" s="17" t="n">
        <f aca="false">IF(F35="","",F35*pl_ratio_bench)</f>
        <v>37.8893142196365</v>
      </c>
    </row>
    <row r="51" customFormat="false" ht="15" hidden="false" customHeight="false" outlineLevel="0" collapsed="false">
      <c r="A51" s="6" t="s">
        <v>848</v>
      </c>
      <c r="B51" s="17" t="n">
        <f aca="false">IF(F34="","",F34)</f>
        <v>81.6077537038325</v>
      </c>
    </row>
    <row r="52" customFormat="false" ht="15" hidden="false" customHeight="false" outlineLevel="0" collapsed="false">
      <c r="A52" s="12" t="s">
        <v>849</v>
      </c>
      <c r="B52" s="17" t="n">
        <f aca="false">SUM(B49:B51)</f>
        <v>177.788320569064</v>
      </c>
    </row>
    <row r="53" customFormat="false" ht="15" hidden="false" customHeight="false" outlineLevel="0" collapsed="false">
      <c r="A53" s="12" t="s">
        <v>850</v>
      </c>
      <c r="B53" s="17" t="n">
        <f aca="false">s_pltotal*s_wilks</f>
        <v>184.432984577662</v>
      </c>
    </row>
    <row r="54" customFormat="false" ht="15" hidden="false" customHeight="false" outlineLevel="0" collapsed="false">
      <c r="A54" s="12" t="s">
        <v>851</v>
      </c>
      <c r="B54" s="17" t="n">
        <f aca="false">s_pltotal*s_wilks*s_agec</f>
        <v>184.432984577662</v>
      </c>
    </row>
    <row r="55" customFormat="false" ht="15" hidden="false" customHeight="false" outlineLevel="0" collapsed="false">
      <c r="A55" s="7" t="s">
        <v>852</v>
      </c>
    </row>
    <row r="57" customFormat="false" ht="16.15" hidden="false" customHeight="false" outlineLevel="0" collapsed="false">
      <c r="A57" s="11" t="s">
        <v>853</v>
      </c>
    </row>
    <row r="58" customFormat="false" ht="15" hidden="false" customHeight="false" outlineLevel="0" collapsed="false">
      <c r="A58" s="7" t="s">
        <v>854</v>
      </c>
    </row>
    <row r="59" customFormat="false" ht="15" hidden="false" customHeight="false" outlineLevel="0" collapsed="false">
      <c r="A59" s="4" t="s">
        <v>335</v>
      </c>
      <c r="B59" s="4" t="s">
        <v>256</v>
      </c>
      <c r="C59" s="4" t="s">
        <v>310</v>
      </c>
      <c r="D59" s="4" t="s">
        <v>308</v>
      </c>
      <c r="E59" s="4" t="s">
        <v>855</v>
      </c>
      <c r="F59" s="4" t="s">
        <v>856</v>
      </c>
      <c r="G59" s="4" t="s">
        <v>857</v>
      </c>
      <c r="H59" s="4" t="s">
        <v>309</v>
      </c>
    </row>
    <row r="60" customFormat="false" ht="15" hidden="false" customHeight="false" outlineLevel="0" collapsed="false">
      <c r="A60" s="6" t="s">
        <v>341</v>
      </c>
      <c r="B60" s="17" t="n">
        <f aca="false">IF(E60=0,"",SUMPRODUCT(Parameters!$I$196:$I$212,$N$12:$N$28)/E60)</f>
        <v>51.00630245615</v>
      </c>
      <c r="C60" s="6" t="str">
        <f aca="false">IF(B60="","",INDEX(t_names,MATCH(B60,t_mins,1)))</f>
        <v>Novice</v>
      </c>
      <c r="D60" s="20" t="n">
        <f aca="false">IF(B60="","",B60/s_overall-1)</f>
        <v>0.047872031193174</v>
      </c>
      <c r="E60" s="19" t="n">
        <f aca="false">SUMPRODUCT(Parameters!$I$196:$I$212,$O$12:$O$28)</f>
        <v>1</v>
      </c>
      <c r="F60" s="20" t="n">
        <f aca="false">IF(E60=0,"",_xlfn.MINIFS($K$12:$K$28,Parameters!$I$196:$I$212,1))</f>
        <v>0.047872031193174</v>
      </c>
      <c r="G60" s="20" t="n">
        <f aca="false">IF(E60=0,"",_xlfn.MAXIFS($K$12:$K$28,Parameters!$I$196:$I$212,1))</f>
        <v>0.047872031193174</v>
      </c>
      <c r="H60" s="6" t="str">
        <f aca="false">IF(E60=0,"no data",IF(F60&gt;p_dev_tol,"strong",IF(G60&lt;-p_dev_tol,"weak",IF(AND(F60&gt;=-p_dev_tol,G60&lt;=p_dev_tol),"in line","mixed"))))</f>
        <v>in line</v>
      </c>
      <c r="V60" s="28" t="n">
        <f aca="false">IF(B60="","",D60-ROW()/1000000000)</f>
        <v>0.047871971193174</v>
      </c>
    </row>
    <row r="61" customFormat="false" ht="15" hidden="false" customHeight="false" outlineLevel="0" collapsed="false">
      <c r="A61" s="6" t="s">
        <v>342</v>
      </c>
      <c r="B61" s="17" t="n">
        <f aca="false">IF(E61=0,"",SUMPRODUCT(Parameters!$J$196:$J$212,$N$12:$N$28)/E61)</f>
        <v>51.00630245615</v>
      </c>
      <c r="C61" s="6" t="str">
        <f aca="false">IF(B61="","",INDEX(t_names,MATCH(B61,t_mins,1)))</f>
        <v>Novice</v>
      </c>
      <c r="D61" s="20" t="n">
        <f aca="false">IF(B61="","",B61/s_overall-1)</f>
        <v>0.047872031193174</v>
      </c>
      <c r="E61" s="19" t="n">
        <f aca="false">SUMPRODUCT(Parameters!$J$196:$J$212,$O$12:$O$28)</f>
        <v>1</v>
      </c>
      <c r="F61" s="20" t="n">
        <f aca="false">IF(E61=0,"",_xlfn.MINIFS($K$12:$K$28,Parameters!$J$196:$J$212,1))</f>
        <v>0.047872031193174</v>
      </c>
      <c r="G61" s="20" t="n">
        <f aca="false">IF(E61=0,"",_xlfn.MAXIFS($K$12:$K$28,Parameters!$J$196:$J$212,1))</f>
        <v>0.047872031193174</v>
      </c>
      <c r="H61" s="6" t="str">
        <f aca="false">IF(E61=0,"no data",IF(F61&gt;p_dev_tol,"strong",IF(G61&lt;-p_dev_tol,"weak",IF(AND(F61&gt;=-p_dev_tol,G61&lt;=p_dev_tol),"in line","mixed"))))</f>
        <v>in line</v>
      </c>
      <c r="V61" s="28" t="n">
        <f aca="false">IF(B61="","",D61-ROW()/1000000000)</f>
        <v>0.047871970193174</v>
      </c>
    </row>
    <row r="62" customFormat="false" ht="15" hidden="false" customHeight="false" outlineLevel="0" collapsed="false">
      <c r="A62" s="6" t="s">
        <v>343</v>
      </c>
      <c r="B62" s="17" t="str">
        <f aca="false">IF(E62=0,"",SUMPRODUCT(Parameters!$K$196:$K$212,$N$12:$N$28)/E62)</f>
        <v/>
      </c>
      <c r="C62" s="6" t="str">
        <f aca="false">IF(B62="","",INDEX(t_names,MATCH(B62,t_mins,1)))</f>
        <v/>
      </c>
      <c r="D62" s="20" t="str">
        <f aca="false">IF(B62="","",B62/s_overall-1)</f>
        <v/>
      </c>
      <c r="E62" s="19" t="n">
        <f aca="false">SUMPRODUCT(Parameters!$K$196:$K$212,$O$12:$O$28)</f>
        <v>0</v>
      </c>
      <c r="F62" s="20" t="str">
        <f aca="false">IF(E62=0,"",_xlfn.MINIFS($K$12:$K$28,Parameters!$K$196:$K$212,1))</f>
        <v/>
      </c>
      <c r="G62" s="20" t="str">
        <f aca="false">IF(E62=0,"",_xlfn.MAXIFS($K$12:$K$28,Parameters!$K$196:$K$212,1))</f>
        <v/>
      </c>
      <c r="H62" s="6" t="str">
        <f aca="false">IF(E62=0,"no data",IF(F62&gt;p_dev_tol,"strong",IF(G62&lt;-p_dev_tol,"weak",IF(AND(F62&gt;=-p_dev_tol,G62&lt;=p_dev_tol),"in line","mixed"))))</f>
        <v>no data</v>
      </c>
      <c r="V62" s="6" t="str">
        <f aca="false">IF(B62="","",D62-ROW()/1000000000)</f>
        <v/>
      </c>
    </row>
    <row r="63" customFormat="false" ht="15" hidden="false" customHeight="false" outlineLevel="0" collapsed="false">
      <c r="A63" s="6" t="s">
        <v>344</v>
      </c>
      <c r="B63" s="17" t="n">
        <f aca="false">IF(E63=0,"",SUMPRODUCT(Parameters!$L$196:$L$212,$N$12:$N$28)/E63)</f>
        <v>48.1254005257822</v>
      </c>
      <c r="C63" s="6" t="str">
        <f aca="false">IF(B63="","",INDEX(t_names,MATCH(B63,t_mins,1)))</f>
        <v>Novice</v>
      </c>
      <c r="D63" s="20" t="n">
        <f aca="false">IF(B63="","",B63/s_overall-1)</f>
        <v>-0.0113131363660329</v>
      </c>
      <c r="E63" s="19" t="n">
        <f aca="false">SUMPRODUCT(Parameters!$L$196:$L$212,$O$12:$O$28)</f>
        <v>2</v>
      </c>
      <c r="F63" s="20" t="n">
        <f aca="false">IF(E63=0,"",_xlfn.MINIFS($K$12:$K$28,Parameters!$L$196:$L$212,1))</f>
        <v>-0.146470150030622</v>
      </c>
      <c r="G63" s="20" t="n">
        <f aca="false">IF(E63=0,"",_xlfn.MAXIFS($K$12:$K$28,Parameters!$L$196:$L$212,1))</f>
        <v>0.123843877298557</v>
      </c>
      <c r="H63" s="6" t="str">
        <f aca="false">IF(E63=0,"no data",IF(F63&gt;p_dev_tol,"strong",IF(G63&lt;-p_dev_tol,"weak",IF(AND(F63&gt;=-p_dev_tol,G63&lt;=p_dev_tol),"in line","mixed"))))</f>
        <v>mixed</v>
      </c>
      <c r="V63" s="28" t="n">
        <f aca="false">IF(B63="","",D63-ROW()/1000000000)</f>
        <v>-0.0113131993660329</v>
      </c>
    </row>
    <row r="64" customFormat="false" ht="15" hidden="false" customHeight="false" outlineLevel="0" collapsed="false">
      <c r="A64" s="6" t="s">
        <v>345</v>
      </c>
      <c r="B64" s="17" t="n">
        <f aca="false">IF(E64=0,"",SUMPRODUCT(Parameters!$M$196:$M$212,$N$12:$N$28)/E64)</f>
        <v>54.704314088535</v>
      </c>
      <c r="C64" s="6" t="str">
        <f aca="false">IF(B64="","",INDEX(t_names,MATCH(B64,t_mins,1)))</f>
        <v>Novice</v>
      </c>
      <c r="D64" s="20" t="n">
        <f aca="false">IF(B64="","",B64/s_overall-1)</f>
        <v>0.123843877298557</v>
      </c>
      <c r="E64" s="19" t="n">
        <f aca="false">SUMPRODUCT(Parameters!$M$196:$M$212,$O$12:$O$28)</f>
        <v>1</v>
      </c>
      <c r="F64" s="20" t="n">
        <f aca="false">IF(E64=0,"",_xlfn.MINIFS($K$12:$K$28,Parameters!$M$196:$M$212,1))</f>
        <v>0.123843877298557</v>
      </c>
      <c r="G64" s="20" t="n">
        <f aca="false">IF(E64=0,"",_xlfn.MAXIFS($K$12:$K$28,Parameters!$M$196:$M$212,1))</f>
        <v>0.123843877298557</v>
      </c>
      <c r="H64" s="6" t="str">
        <f aca="false">IF(E64=0,"no data",IF(F64&gt;p_dev_tol,"strong",IF(G64&lt;-p_dev_tol,"weak",IF(AND(F64&gt;=-p_dev_tol,G64&lt;=p_dev_tol),"in line","mixed"))))</f>
        <v>strong</v>
      </c>
      <c r="V64" s="28" t="n">
        <f aca="false">IF(B64="","",D64-ROW()/1000000000)</f>
        <v>0.123843813298557</v>
      </c>
    </row>
    <row r="65" customFormat="false" ht="15" hidden="false" customHeight="false" outlineLevel="0" collapsed="false">
      <c r="A65" s="6" t="s">
        <v>346</v>
      </c>
      <c r="B65" s="17" t="n">
        <f aca="false">IF(E65=0,"",SUMPRODUCT(Parameters!$N$196:$N$212,$N$12:$N$28)/E65)</f>
        <v>52.750588585373</v>
      </c>
      <c r="C65" s="6" t="str">
        <f aca="false">IF(B65="","",INDEX(t_names,MATCH(B65,t_mins,1)))</f>
        <v>Novice</v>
      </c>
      <c r="D65" s="20" t="n">
        <f aca="false">IF(B65="","",B65/s_overall-1)</f>
        <v>0.0837065959664654</v>
      </c>
      <c r="E65" s="19" t="n">
        <f aca="false">SUMPRODUCT(Parameters!$N$196:$N$212,$O$12:$O$28)</f>
        <v>1</v>
      </c>
      <c r="F65" s="20" t="n">
        <f aca="false">IF(E65=0,"",_xlfn.MINIFS($K$12:$K$28,Parameters!$N$196:$N$212,1))</f>
        <v>0.0837065959664654</v>
      </c>
      <c r="G65" s="20" t="n">
        <f aca="false">IF(E65=0,"",_xlfn.MAXIFS($K$12:$K$28,Parameters!$N$196:$N$212,1))</f>
        <v>0.0837065959664654</v>
      </c>
      <c r="H65" s="6" t="str">
        <f aca="false">IF(E65=0,"no data",IF(F65&gt;p_dev_tol,"strong",IF(G65&lt;-p_dev_tol,"weak",IF(AND(F65&gt;=-p_dev_tol,G65&lt;=p_dev_tol),"in line","mixed"))))</f>
        <v>in line</v>
      </c>
      <c r="V65" s="28" t="n">
        <f aca="false">IF(B65="","",D65-ROW()/1000000000)</f>
        <v>0.0837065309664654</v>
      </c>
    </row>
    <row r="66" customFormat="false" ht="15" hidden="false" customHeight="false" outlineLevel="0" collapsed="false">
      <c r="A66" s="6" t="s">
        <v>347</v>
      </c>
      <c r="B66" s="17" t="n">
        <f aca="false">IF(E66=0,"",SUMPRODUCT(Parameters!$O$196:$O$212,$N$12:$N$28)/E66)</f>
        <v>41.5464869630295</v>
      </c>
      <c r="C66" s="6" t="str">
        <f aca="false">IF(B66="","",INDEX(t_names,MATCH(B66,t_mins,1)))</f>
        <v>Untrained</v>
      </c>
      <c r="D66" s="20" t="n">
        <f aca="false">IF(B66="","",B66/s_overall-1)</f>
        <v>-0.146470150030622</v>
      </c>
      <c r="E66" s="19" t="n">
        <f aca="false">SUMPRODUCT(Parameters!$O$196:$O$212,$O$12:$O$28)</f>
        <v>1</v>
      </c>
      <c r="F66" s="20" t="n">
        <f aca="false">IF(E66=0,"",_xlfn.MINIFS($K$12:$K$28,Parameters!$O$196:$O$212,1))</f>
        <v>-0.146470150030622</v>
      </c>
      <c r="G66" s="20" t="n">
        <f aca="false">IF(E66=0,"",_xlfn.MAXIFS($K$12:$K$28,Parameters!$O$196:$O$212,1))</f>
        <v>-0.146470150030622</v>
      </c>
      <c r="H66" s="6" t="str">
        <f aca="false">IF(E66=0,"no data",IF(F66&gt;p_dev_tol,"strong",IF(G66&lt;-p_dev_tol,"weak",IF(AND(F66&gt;=-p_dev_tol,G66&lt;=p_dev_tol),"in line","mixed"))))</f>
        <v>weak</v>
      </c>
      <c r="V66" s="28" t="n">
        <f aca="false">IF(B66="","",D66-ROW()/1000000000)</f>
        <v>-0.146470216030622</v>
      </c>
    </row>
    <row r="67" customFormat="false" ht="15" hidden="false" customHeight="false" outlineLevel="0" collapsed="false">
      <c r="A67" s="6" t="s">
        <v>348</v>
      </c>
      <c r="B67" s="17" t="n">
        <f aca="false">IF(E67=0,"",SUMPRODUCT(Parameters!$P$196:$P$212,$N$12:$N$28)/E67)</f>
        <v>52.750588585373</v>
      </c>
      <c r="C67" s="6" t="str">
        <f aca="false">IF(B67="","",INDEX(t_names,MATCH(B67,t_mins,1)))</f>
        <v>Novice</v>
      </c>
      <c r="D67" s="20" t="n">
        <f aca="false">IF(B67="","",B67/s_overall-1)</f>
        <v>0.0837065959664654</v>
      </c>
      <c r="E67" s="19" t="n">
        <f aca="false">SUMPRODUCT(Parameters!$P$196:$P$212,$O$12:$O$28)</f>
        <v>1</v>
      </c>
      <c r="F67" s="20" t="n">
        <f aca="false">IF(E67=0,"",_xlfn.MINIFS($K$12:$K$28,Parameters!$P$196:$P$212,1))</f>
        <v>0.0837065959664654</v>
      </c>
      <c r="G67" s="20" t="n">
        <f aca="false">IF(E67=0,"",_xlfn.MAXIFS($K$12:$K$28,Parameters!$P$196:$P$212,1))</f>
        <v>0.0837065959664654</v>
      </c>
      <c r="H67" s="6" t="str">
        <f aca="false">IF(E67=0,"no data",IF(F67&gt;p_dev_tol,"strong",IF(G67&lt;-p_dev_tol,"weak",IF(AND(F67&gt;=-p_dev_tol,G67&lt;=p_dev_tol),"in line","mixed"))))</f>
        <v>in line</v>
      </c>
      <c r="V67" s="28" t="n">
        <f aca="false">IF(B67="","",D67-ROW()/1000000000)</f>
        <v>0.0837065289664653</v>
      </c>
    </row>
    <row r="68" customFormat="false" ht="15" hidden="false" customHeight="false" outlineLevel="0" collapsed="false">
      <c r="A68" s="6" t="s">
        <v>349</v>
      </c>
      <c r="B68" s="17" t="n">
        <f aca="false">IF(E68=0,"",SUMPRODUCT(Parameters!$Q$196:$Q$212,$N$12:$N$28)/E68)</f>
        <v>48.1254005257822</v>
      </c>
      <c r="C68" s="6" t="str">
        <f aca="false">IF(B68="","",INDEX(t_names,MATCH(B68,t_mins,1)))</f>
        <v>Novice</v>
      </c>
      <c r="D68" s="20" t="n">
        <f aca="false">IF(B68="","",B68/s_overall-1)</f>
        <v>-0.0113131363660329</v>
      </c>
      <c r="E68" s="19" t="n">
        <f aca="false">SUMPRODUCT(Parameters!$Q$196:$Q$212,$O$12:$O$28)</f>
        <v>2</v>
      </c>
      <c r="F68" s="20" t="n">
        <f aca="false">IF(E68=0,"",_xlfn.MINIFS($K$12:$K$28,Parameters!$Q$196:$Q$212,1))</f>
        <v>-0.146470150030622</v>
      </c>
      <c r="G68" s="20" t="n">
        <f aca="false">IF(E68=0,"",_xlfn.MAXIFS($K$12:$K$28,Parameters!$Q$196:$Q$212,1))</f>
        <v>0.123843877298557</v>
      </c>
      <c r="H68" s="6" t="str">
        <f aca="false">IF(E68=0,"no data",IF(F68&gt;p_dev_tol,"strong",IF(G68&lt;-p_dev_tol,"weak",IF(AND(F68&gt;=-p_dev_tol,G68&lt;=p_dev_tol),"in line","mixed"))))</f>
        <v>mixed</v>
      </c>
      <c r="V68" s="28" t="n">
        <f aca="false">IF(B68="","",D68-ROW()/1000000000)</f>
        <v>-0.0113132043660329</v>
      </c>
    </row>
    <row r="69" customFormat="false" ht="15" hidden="false" customHeight="false" outlineLevel="0" collapsed="false">
      <c r="A69" s="6" t="s">
        <v>350</v>
      </c>
      <c r="B69" s="17" t="n">
        <f aca="false">IF(E69=0,"",SUMPRODUCT(Parameters!$R$196:$R$212,$N$12:$N$28)/E69)</f>
        <v>51.00630245615</v>
      </c>
      <c r="C69" s="6" t="str">
        <f aca="false">IF(B69="","",INDEX(t_names,MATCH(B69,t_mins,1)))</f>
        <v>Novice</v>
      </c>
      <c r="D69" s="20" t="n">
        <f aca="false">IF(B69="","",B69/s_overall-1)</f>
        <v>0.047872031193174</v>
      </c>
      <c r="E69" s="19" t="n">
        <f aca="false">SUMPRODUCT(Parameters!$R$196:$R$212,$O$12:$O$28)</f>
        <v>1</v>
      </c>
      <c r="F69" s="20" t="n">
        <f aca="false">IF(E69=0,"",_xlfn.MINIFS($K$12:$K$28,Parameters!$R$196:$R$212,1))</f>
        <v>0.047872031193174</v>
      </c>
      <c r="G69" s="20" t="n">
        <f aca="false">IF(E69=0,"",_xlfn.MAXIFS($K$12:$K$28,Parameters!$R$196:$R$212,1))</f>
        <v>0.047872031193174</v>
      </c>
      <c r="H69" s="6" t="str">
        <f aca="false">IF(E69=0,"no data",IF(F69&gt;p_dev_tol,"strong",IF(G69&lt;-p_dev_tol,"weak",IF(AND(F69&gt;=-p_dev_tol,G69&lt;=p_dev_tol),"in line","mixed"))))</f>
        <v>in line</v>
      </c>
      <c r="V69" s="28" t="n">
        <f aca="false">IF(B69="","",D69-ROW()/1000000000)</f>
        <v>0.047871962193174</v>
      </c>
    </row>
    <row r="70" customFormat="false" ht="15" hidden="false" customHeight="false" outlineLevel="0" collapsed="false">
      <c r="A70" s="6" t="s">
        <v>351</v>
      </c>
      <c r="B70" s="17" t="n">
        <f aca="false">IF(E70=0,"",SUMPRODUCT(Parameters!$S$196:$S$212,$N$12:$N$28)/E70)</f>
        <v>51.8784455207615</v>
      </c>
      <c r="C70" s="6" t="str">
        <f aca="false">IF(B70="","",INDEX(t_names,MATCH(B70,t_mins,1)))</f>
        <v>Novice</v>
      </c>
      <c r="D70" s="20" t="n">
        <f aca="false">IF(B70="","",B70/s_overall-1)</f>
        <v>0.0657893135798195</v>
      </c>
      <c r="E70" s="19" t="n">
        <f aca="false">SUMPRODUCT(Parameters!$S$196:$S$212,$O$12:$O$28)</f>
        <v>2</v>
      </c>
      <c r="F70" s="20" t="n">
        <f aca="false">IF(E70=0,"",_xlfn.MINIFS($K$12:$K$28,Parameters!$S$196:$S$212,1))</f>
        <v>0.047872031193174</v>
      </c>
      <c r="G70" s="20" t="n">
        <f aca="false">IF(E70=0,"",_xlfn.MAXIFS($K$12:$K$28,Parameters!$S$196:$S$212,1))</f>
        <v>0.0837065959664654</v>
      </c>
      <c r="H70" s="6" t="str">
        <f aca="false">IF(E70=0,"no data",IF(F70&gt;p_dev_tol,"strong",IF(G70&lt;-p_dev_tol,"weak",IF(AND(F70&gt;=-p_dev_tol,G70&lt;=p_dev_tol),"in line","mixed"))))</f>
        <v>in line</v>
      </c>
      <c r="V70" s="28" t="n">
        <f aca="false">IF(B70="","",D70-ROW()/1000000000)</f>
        <v>0.0657892435798195</v>
      </c>
    </row>
    <row r="71" customFormat="false" ht="15" hidden="false" customHeight="false" outlineLevel="0" collapsed="false">
      <c r="A71" s="6" t="s">
        <v>352</v>
      </c>
      <c r="B71" s="17" t="n">
        <f aca="false">IF(E71=0,"",SUMPRODUCT(Parameters!$T$196:$T$212,$N$12:$N$28)/E71)</f>
        <v>49.0431990705729</v>
      </c>
      <c r="C71" s="6" t="str">
        <f aca="false">IF(B71="","",INDEX(t_names,MATCH(B71,t_mins,1)))</f>
        <v>Novice</v>
      </c>
      <c r="D71" s="20" t="n">
        <f aca="false">IF(B71="","",B71/s_overall-1)</f>
        <v>0.00754209091068869</v>
      </c>
      <c r="E71" s="19" t="n">
        <f aca="false">SUMPRODUCT(Parameters!$T$196:$T$212,$O$12:$O$28)</f>
        <v>3</v>
      </c>
      <c r="F71" s="20" t="n">
        <f aca="false">IF(E71=0,"",_xlfn.MINIFS($K$12:$K$28,Parameters!$T$196:$T$212,1))</f>
        <v>-0.108952354427573</v>
      </c>
      <c r="G71" s="20" t="n">
        <f aca="false">IF(E71=0,"",_xlfn.MAXIFS($K$12:$K$28,Parameters!$T$196:$T$212,1))</f>
        <v>0.0837065959664654</v>
      </c>
      <c r="H71" s="6" t="str">
        <f aca="false">IF(E71=0,"no data",IF(F71&gt;p_dev_tol,"strong",IF(G71&lt;-p_dev_tol,"weak",IF(AND(F71&gt;=-p_dev_tol,G71&lt;=p_dev_tol),"in line","mixed"))))</f>
        <v>mixed</v>
      </c>
      <c r="V71" s="28" t="n">
        <f aca="false">IF(B71="","",D71-ROW()/1000000000)</f>
        <v>0.00754201991068869</v>
      </c>
    </row>
    <row r="72" customFormat="false" ht="15" hidden="false" customHeight="false" outlineLevel="0" collapsed="false">
      <c r="A72" s="6" t="s">
        <v>353</v>
      </c>
      <c r="B72" s="17" t="n">
        <f aca="false">IF(E72=0,"",SUMPRODUCT(Parameters!$U$196:$U$212,$N$12:$N$28)/E72)</f>
        <v>52.750588585373</v>
      </c>
      <c r="C72" s="6" t="str">
        <f aca="false">IF(B72="","",INDEX(t_names,MATCH(B72,t_mins,1)))</f>
        <v>Novice</v>
      </c>
      <c r="D72" s="20" t="n">
        <f aca="false">IF(B72="","",B72/s_overall-1)</f>
        <v>0.0837065959664654</v>
      </c>
      <c r="E72" s="19" t="n">
        <f aca="false">SUMPRODUCT(Parameters!$U$196:$U$212,$O$12:$O$28)</f>
        <v>1</v>
      </c>
      <c r="F72" s="20" t="n">
        <f aca="false">IF(E72=0,"",_xlfn.MINIFS($K$12:$K$28,Parameters!$U$196:$U$212,1))</f>
        <v>0.0837065959664654</v>
      </c>
      <c r="G72" s="20" t="n">
        <f aca="false">IF(E72=0,"",_xlfn.MAXIFS($K$12:$K$28,Parameters!$U$196:$U$212,1))</f>
        <v>0.0837065959664654</v>
      </c>
      <c r="H72" s="6" t="str">
        <f aca="false">IF(E72=0,"no data",IF(F72&gt;p_dev_tol,"strong",IF(G72&lt;-p_dev_tol,"weak",IF(AND(F72&gt;=-p_dev_tol,G72&lt;=p_dev_tol),"in line","mixed"))))</f>
        <v>in line</v>
      </c>
      <c r="V72" s="28" t="n">
        <f aca="false">IF(B72="","",D72-ROW()/1000000000)</f>
        <v>0.0837065239664653</v>
      </c>
    </row>
    <row r="73" customFormat="false" ht="15" hidden="false" customHeight="false" outlineLevel="0" collapsed="false">
      <c r="A73" s="6" t="s">
        <v>354</v>
      </c>
      <c r="B73" s="17" t="n">
        <f aca="false">IF(E73=0,"",SUMPRODUCT(Parameters!$V$196:$V$212,$N$12:$N$28)/E73)</f>
        <v>47.1895043131728</v>
      </c>
      <c r="C73" s="6" t="str">
        <f aca="false">IF(B73="","",INDEX(t_names,MATCH(B73,t_mins,1)))</f>
        <v>Novice</v>
      </c>
      <c r="D73" s="20" t="n">
        <f aca="false">IF(B73="","",B73/s_overall-1)</f>
        <v>-0.0305401616171996</v>
      </c>
      <c r="E73" s="19" t="n">
        <f aca="false">SUMPRODUCT(Parameters!$V$196:$V$212,$O$12:$O$28)</f>
        <v>2</v>
      </c>
      <c r="F73" s="20" t="n">
        <f aca="false">IF(E73=0,"",_xlfn.MINIFS($K$12:$K$28,Parameters!$V$196:$V$212,1))</f>
        <v>-0.108952354427573</v>
      </c>
      <c r="G73" s="20" t="n">
        <f aca="false">IF(E73=0,"",_xlfn.MAXIFS($K$12:$K$28,Parameters!$V$196:$V$212,1))</f>
        <v>0.047872031193174</v>
      </c>
      <c r="H73" s="6" t="str">
        <f aca="false">IF(E73=0,"no data",IF(F73&gt;p_dev_tol,"strong",IF(G73&lt;-p_dev_tol,"weak",IF(AND(F73&gt;=-p_dev_tol,G73&lt;=p_dev_tol),"in line","mixed"))))</f>
        <v>mixed</v>
      </c>
      <c r="V73" s="28" t="n">
        <f aca="false">IF(B73="","",D73-ROW()/1000000000)</f>
        <v>-0.0305402346171996</v>
      </c>
    </row>
    <row r="74" customFormat="false" ht="15" hidden="false" customHeight="false" outlineLevel="0" collapsed="false">
      <c r="A74" s="6" t="s">
        <v>355</v>
      </c>
      <c r="B74" s="17" t="n">
        <f aca="false">IF(E74=0,"",SUMPRODUCT(Parameters!$W$196:$W$212,$N$12:$N$28)/E74)</f>
        <v>43.7361041466378</v>
      </c>
      <c r="C74" s="6" t="str">
        <f aca="false">IF(B74="","",INDEX(t_names,MATCH(B74,t_mins,1)))</f>
        <v>Untrained</v>
      </c>
      <c r="D74" s="20" t="n">
        <f aca="false">IF(B74="","",B74/s_overall-1)</f>
        <v>-0.101486716704991</v>
      </c>
      <c r="E74" s="19" t="n">
        <f aca="false">SUMPRODUCT(Parameters!$W$196:$W$212,$O$12:$O$28)</f>
        <v>3</v>
      </c>
      <c r="F74" s="20" t="n">
        <f aca="false">IF(E74=0,"",_xlfn.MINIFS($K$12:$K$28,Parameters!$W$196:$W$212,1))</f>
        <v>-0.243379826880575</v>
      </c>
      <c r="G74" s="20" t="n">
        <f aca="false">IF(E74=0,"",_xlfn.MAXIFS($K$12:$K$28,Parameters!$W$196:$W$212,1))</f>
        <v>0.047872031193174</v>
      </c>
      <c r="H74" s="6" t="str">
        <f aca="false">IF(E74=0,"no data",IF(F74&gt;p_dev_tol,"strong",IF(G74&lt;-p_dev_tol,"weak",IF(AND(F74&gt;=-p_dev_tol,G74&lt;=p_dev_tol),"in line","mixed"))))</f>
        <v>mixed</v>
      </c>
      <c r="V74" s="28" t="n">
        <f aca="false">IF(B74="","",D74-ROW()/1000000000)</f>
        <v>-0.101486790704991</v>
      </c>
    </row>
    <row r="75" customFormat="false" ht="15" hidden="false" customHeight="false" outlineLevel="0" collapsed="false">
      <c r="A75" s="6" t="s">
        <v>356</v>
      </c>
      <c r="B75" s="17" t="n">
        <f aca="false">IF(E75=0,"",SUMPRODUCT(Parameters!$X$196:$X$212,$N$12:$N$28)/E75)</f>
        <v>47.1895043131728</v>
      </c>
      <c r="C75" s="6" t="str">
        <f aca="false">IF(B75="","",INDEX(t_names,MATCH(B75,t_mins,1)))</f>
        <v>Novice</v>
      </c>
      <c r="D75" s="20" t="n">
        <f aca="false">IF(B75="","",B75/s_overall-1)</f>
        <v>-0.0305401616171996</v>
      </c>
      <c r="E75" s="19" t="n">
        <f aca="false">SUMPRODUCT(Parameters!$X$196:$X$212,$O$12:$O$28)</f>
        <v>2</v>
      </c>
      <c r="F75" s="20" t="n">
        <f aca="false">IF(E75=0,"",_xlfn.MINIFS($K$12:$K$28,Parameters!$X$196:$X$212,1))</f>
        <v>-0.108952354427573</v>
      </c>
      <c r="G75" s="20" t="n">
        <f aca="false">IF(E75=0,"",_xlfn.MAXIFS($K$12:$K$28,Parameters!$X$196:$X$212,1))</f>
        <v>0.047872031193174</v>
      </c>
      <c r="H75" s="6" t="str">
        <f aca="false">IF(E75=0,"no data",IF(F75&gt;p_dev_tol,"strong",IF(G75&lt;-p_dev_tol,"weak",IF(AND(F75&gt;=-p_dev_tol,G75&lt;=p_dev_tol),"in line","mixed"))))</f>
        <v>mixed</v>
      </c>
      <c r="V75" s="28" t="n">
        <f aca="false">IF(B75="","",D75-ROW()/1000000000)</f>
        <v>-0.0305402366171996</v>
      </c>
    </row>
    <row r="76" customFormat="false" ht="15" hidden="false" customHeight="false" outlineLevel="0" collapsed="false">
      <c r="A76" s="6" t="s">
        <v>357</v>
      </c>
      <c r="B76" s="17" t="n">
        <f aca="false">IF(E76=0,"",SUMPRODUCT(Parameters!$Y$196:$Y$212,$N$12:$N$28)/E76)</f>
        <v>43.7361041466378</v>
      </c>
      <c r="C76" s="6" t="str">
        <f aca="false">IF(B76="","",INDEX(t_names,MATCH(B76,t_mins,1)))</f>
        <v>Untrained</v>
      </c>
      <c r="D76" s="20" t="n">
        <f aca="false">IF(B76="","",B76/s_overall-1)</f>
        <v>-0.101486716704991</v>
      </c>
      <c r="E76" s="19" t="n">
        <f aca="false">SUMPRODUCT(Parameters!$Y$196:$Y$212,$O$12:$O$28)</f>
        <v>3</v>
      </c>
      <c r="F76" s="20" t="n">
        <f aca="false">IF(E76=0,"",_xlfn.MINIFS($K$12:$K$28,Parameters!$Y$196:$Y$212,1))</f>
        <v>-0.243379826880575</v>
      </c>
      <c r="G76" s="20" t="n">
        <f aca="false">IF(E76=0,"",_xlfn.MAXIFS($K$12:$K$28,Parameters!$Y$196:$Y$212,1))</f>
        <v>0.047872031193174</v>
      </c>
      <c r="H76" s="6" t="str">
        <f aca="false">IF(E76=0,"no data",IF(F76&gt;p_dev_tol,"strong",IF(G76&lt;-p_dev_tol,"weak",IF(AND(F76&gt;=-p_dev_tol,G76&lt;=p_dev_tol),"in line","mixed"))))</f>
        <v>mixed</v>
      </c>
      <c r="V76" s="28" t="n">
        <f aca="false">IF(B76="","",D76-ROW()/1000000000)</f>
        <v>-0.101486792704991</v>
      </c>
    </row>
    <row r="77" customFormat="false" ht="15" hidden="false" customHeight="false" outlineLevel="0" collapsed="false">
      <c r="A77" s="6" t="s">
        <v>358</v>
      </c>
      <c r="B77" s="17" t="n">
        <f aca="false">IF(E77=0,"",SUMPRODUCT(Parameters!$Z$196:$Z$212,$N$12:$N$28)/E77)</f>
        <v>43.3727061701956</v>
      </c>
      <c r="C77" s="6" t="str">
        <f aca="false">IF(B77="","",INDEX(t_names,MATCH(B77,t_mins,1)))</f>
        <v>Untrained</v>
      </c>
      <c r="D77" s="20" t="n">
        <f aca="false">IF(B77="","",B77/s_overall-1)</f>
        <v>-0.108952354427573</v>
      </c>
      <c r="E77" s="19" t="n">
        <f aca="false">SUMPRODUCT(Parameters!$Z$196:$Z$212,$O$12:$O$28)</f>
        <v>1</v>
      </c>
      <c r="F77" s="20" t="n">
        <f aca="false">IF(E77=0,"",_xlfn.MINIFS($K$12:$K$28,Parameters!$Z$196:$Z$212,1))</f>
        <v>-0.108952354427573</v>
      </c>
      <c r="G77" s="20" t="n">
        <f aca="false">IF(E77=0,"",_xlfn.MAXIFS($K$12:$K$28,Parameters!$Z$196:$Z$212,1))</f>
        <v>-0.108952354427573</v>
      </c>
      <c r="H77" s="6" t="str">
        <f aca="false">IF(E77=0,"no data",IF(F77&gt;p_dev_tol,"strong",IF(G77&lt;-p_dev_tol,"weak",IF(AND(F77&gt;=-p_dev_tol,G77&lt;=p_dev_tol),"in line","mixed"))))</f>
        <v>weak</v>
      </c>
      <c r="V77" s="28" t="n">
        <f aca="false">IF(B77="","",D77-ROW()/1000000000)</f>
        <v>-0.108952431427573</v>
      </c>
    </row>
    <row r="78" customFormat="false" ht="15" hidden="false" customHeight="false" outlineLevel="0" collapsed="false">
      <c r="A78" s="6" t="s">
        <v>359</v>
      </c>
      <c r="B78" s="17" t="n">
        <f aca="false">IF(E78=0,"",SUMPRODUCT(Parameters!$AA$196:$AA$212,$N$12:$N$28)/E78)</f>
        <v>40.1010049918818</v>
      </c>
      <c r="C78" s="6" t="str">
        <f aca="false">IF(B78="","",INDEX(t_names,MATCH(B78,t_mins,1)))</f>
        <v>Untrained</v>
      </c>
      <c r="D78" s="20" t="n">
        <f aca="false">IF(B78="","",B78/s_overall-1)</f>
        <v>-0.176166090654074</v>
      </c>
      <c r="E78" s="19" t="n">
        <f aca="false">SUMPRODUCT(Parameters!$AA$196:$AA$212,$O$12:$O$28)</f>
        <v>2</v>
      </c>
      <c r="F78" s="20" t="n">
        <f aca="false">IF(E78=0,"",_xlfn.MINIFS($K$12:$K$28,Parameters!$AA$196:$AA$212,1))</f>
        <v>-0.243379826880575</v>
      </c>
      <c r="G78" s="20" t="n">
        <f aca="false">IF(E78=0,"",_xlfn.MAXIFS($K$12:$K$28,Parameters!$AA$196:$AA$212,1))</f>
        <v>-0.108952354427573</v>
      </c>
      <c r="H78" s="6" t="str">
        <f aca="false">IF(E78=0,"no data",IF(F78&gt;p_dev_tol,"strong",IF(G78&lt;-p_dev_tol,"weak",IF(AND(F78&gt;=-p_dev_tol,G78&lt;=p_dev_tol),"in line","mixed"))))</f>
        <v>weak</v>
      </c>
      <c r="V78" s="28" t="n">
        <f aca="false">IF(B78="","",D78-ROW()/1000000000)</f>
        <v>-0.176166168654074</v>
      </c>
    </row>
    <row r="79" customFormat="false" ht="15" hidden="false" customHeight="false" outlineLevel="0" collapsed="false">
      <c r="A79" s="6" t="s">
        <v>360</v>
      </c>
      <c r="B79" s="17" t="str">
        <f aca="false">IF(E79=0,"",SUMPRODUCT(Parameters!$AB$196:$AB$212,$N$12:$N$28)/E79)</f>
        <v/>
      </c>
      <c r="C79" s="6" t="str">
        <f aca="false">IF(B79="","",INDEX(t_names,MATCH(B79,t_mins,1)))</f>
        <v/>
      </c>
      <c r="D79" s="20" t="str">
        <f aca="false">IF(B79="","",B79/s_overall-1)</f>
        <v/>
      </c>
      <c r="E79" s="19" t="n">
        <f aca="false">SUMPRODUCT(Parameters!$AB$196:$AB$212,$O$12:$O$28)</f>
        <v>0</v>
      </c>
      <c r="F79" s="20" t="str">
        <f aca="false">IF(E79=0,"",_xlfn.MINIFS($K$12:$K$28,Parameters!$AB$196:$AB$212,1))</f>
        <v/>
      </c>
      <c r="G79" s="20" t="str">
        <f aca="false">IF(E79=0,"",_xlfn.MAXIFS($K$12:$K$28,Parameters!$AB$196:$AB$212,1))</f>
        <v/>
      </c>
      <c r="H79" s="6" t="str">
        <f aca="false">IF(E79=0,"no data",IF(F79&gt;p_dev_tol,"strong",IF(G79&lt;-p_dev_tol,"weak",IF(AND(F79&gt;=-p_dev_tol,G79&lt;=p_dev_tol),"in line","mixed"))))</f>
        <v>no data</v>
      </c>
      <c r="V79" s="6" t="str">
        <f aca="false">IF(B79="","",D79-ROW()/1000000000)</f>
        <v/>
      </c>
    </row>
    <row r="80" customFormat="false" ht="15" hidden="false" customHeight="false" outlineLevel="0" collapsed="false">
      <c r="A80" s="12" t="s">
        <v>858</v>
      </c>
      <c r="B80" s="19" t="n">
        <f aca="false">COUNTIF($H$60:$H$79,"strong")</f>
        <v>1</v>
      </c>
    </row>
    <row r="81" customFormat="false" ht="15" hidden="false" customHeight="false" outlineLevel="0" collapsed="false">
      <c r="A81" s="12" t="s">
        <v>859</v>
      </c>
      <c r="B81" s="19" t="n">
        <f aca="false">COUNTIF($H$60:$H$79,"weak")</f>
        <v>3</v>
      </c>
    </row>
    <row r="82" customFormat="false" ht="15" hidden="false" customHeight="false" outlineLevel="0" collapsed="false">
      <c r="A82" s="12" t="s">
        <v>860</v>
      </c>
      <c r="B82" s="19" t="n">
        <f aca="false">COUNTIF($H$60:$H$79,"mixed")</f>
        <v>7</v>
      </c>
    </row>
    <row r="83" customFormat="false" ht="15" hidden="false" customHeight="false" outlineLevel="0" collapsed="false">
      <c r="A83" s="12" t="s">
        <v>861</v>
      </c>
      <c r="B83" s="19" t="n">
        <f aca="false">COUNTIF($H$60:$H$79,"in line")</f>
        <v>7</v>
      </c>
    </row>
    <row r="85" customFormat="false" ht="16.15" hidden="false" customHeight="false" outlineLevel="0" collapsed="false">
      <c r="A85" s="11" t="s">
        <v>862</v>
      </c>
    </row>
    <row r="86" customFormat="false" ht="15" hidden="false" customHeight="false" outlineLevel="0" collapsed="false">
      <c r="A86" s="4" t="s">
        <v>252</v>
      </c>
      <c r="B86" s="4" t="s">
        <v>335</v>
      </c>
      <c r="C86" s="4" t="s">
        <v>308</v>
      </c>
      <c r="D86" s="4" t="s">
        <v>309</v>
      </c>
      <c r="E86" s="4" t="s">
        <v>856</v>
      </c>
      <c r="F86" s="4" t="s">
        <v>857</v>
      </c>
    </row>
    <row r="87" customFormat="false" ht="15" hidden="false" customHeight="false" outlineLevel="0" collapsed="false">
      <c r="A87" s="6" t="n">
        <v>1</v>
      </c>
      <c r="B87" s="6" t="str">
        <f aca="false">IF(A87&gt;COUNT($V$60:$V$79),"",INDEX($A$60:$A$79,MATCH(LARGE($V$60:$V$79,A87),$V$60:$V$79,0)))</f>
        <v>Lateral delts</v>
      </c>
      <c r="C87" s="20" t="n">
        <f aca="false">IF(B87="","",INDEX($D$60:$D$79,MATCH(B87,$A$60:$A$79,0)))</f>
        <v>0.123843877298557</v>
      </c>
      <c r="D87" s="6" t="str">
        <f aca="false">IF(B87="","",INDEX($H$60:$H$79,MATCH(B87,$A$60:$A$79,0)))</f>
        <v>strong</v>
      </c>
      <c r="E87" s="20" t="n">
        <f aca="false">IF(B87="","",INDEX($F$60:$F$79,MATCH(B87,$A$60:$A$79,0)))</f>
        <v>0.123843877298557</v>
      </c>
      <c r="F87" s="20" t="n">
        <f aca="false">IF(B87="","",INDEX($G$60:$G$79,MATCH(B87,$A$60:$A$79,0)))</f>
        <v>0.123843877298557</v>
      </c>
    </row>
    <row r="88" customFormat="false" ht="15" hidden="false" customHeight="false" outlineLevel="0" collapsed="false">
      <c r="A88" s="6" t="n">
        <v>2</v>
      </c>
      <c r="B88" s="6" t="str">
        <f aca="false">IF(A88&gt;COUNT($V$60:$V$79),"",INDEX($A$60:$A$79,MATCH(LARGE($V$60:$V$79,A88),$V$60:$V$79,0)))</f>
        <v>Posterior delts</v>
      </c>
      <c r="C88" s="20" t="n">
        <f aca="false">IF(B88="","",INDEX($D$60:$D$79,MATCH(B88,$A$60:$A$79,0)))</f>
        <v>0.0837065959664654</v>
      </c>
      <c r="D88" s="6" t="str">
        <f aca="false">IF(B88="","",INDEX($H$60:$H$79,MATCH(B88,$A$60:$A$79,0)))</f>
        <v>in line</v>
      </c>
      <c r="E88" s="20" t="n">
        <f aca="false">IF(B88="","",INDEX($F$60:$F$79,MATCH(B88,$A$60:$A$79,0)))</f>
        <v>0.0837065959664654</v>
      </c>
      <c r="F88" s="20" t="n">
        <f aca="false">IF(B88="","",INDEX($G$60:$G$79,MATCH(B88,$A$60:$A$79,0)))</f>
        <v>0.0837065959664654</v>
      </c>
    </row>
    <row r="89" customFormat="false" ht="15" hidden="false" customHeight="false" outlineLevel="0" collapsed="false">
      <c r="A89" s="6" t="n">
        <v>3</v>
      </c>
      <c r="B89" s="6" t="str">
        <f aca="false">IF(A89&gt;COUNT($V$60:$V$79),"",INDEX($A$60:$A$79,MATCH(LARGE($V$60:$V$79,A89),$V$60:$V$79,0)))</f>
        <v>Biceps</v>
      </c>
      <c r="C89" s="20" t="n">
        <f aca="false">IF(B89="","",INDEX($D$60:$D$79,MATCH(B89,$A$60:$A$79,0)))</f>
        <v>0.0837065959664654</v>
      </c>
      <c r="D89" s="6" t="str">
        <f aca="false">IF(B89="","",INDEX($H$60:$H$79,MATCH(B89,$A$60:$A$79,0)))</f>
        <v>in line</v>
      </c>
      <c r="E89" s="20" t="n">
        <f aca="false">IF(B89="","",INDEX($F$60:$F$79,MATCH(B89,$A$60:$A$79,0)))</f>
        <v>0.0837065959664654</v>
      </c>
      <c r="F89" s="20" t="n">
        <f aca="false">IF(B89="","",INDEX($G$60:$G$79,MATCH(B89,$A$60:$A$79,0)))</f>
        <v>0.0837065959664654</v>
      </c>
    </row>
    <row r="90" customFormat="false" ht="15" hidden="false" customHeight="false" outlineLevel="0" collapsed="false">
      <c r="A90" s="6" t="n">
        <v>4</v>
      </c>
      <c r="B90" s="6" t="str">
        <f aca="false">IF(A90&gt;COUNT($V$60:$V$79),"",INDEX($A$60:$A$79,MATCH(LARGE($V$60:$V$79,A90),$V$60:$V$79,0)))</f>
        <v>Lats</v>
      </c>
      <c r="C90" s="20" t="n">
        <f aca="false">IF(B90="","",INDEX($D$60:$D$79,MATCH(B90,$A$60:$A$79,0)))</f>
        <v>0.0837065959664654</v>
      </c>
      <c r="D90" s="6" t="str">
        <f aca="false">IF(B90="","",INDEX($H$60:$H$79,MATCH(B90,$A$60:$A$79,0)))</f>
        <v>in line</v>
      </c>
      <c r="E90" s="20" t="n">
        <f aca="false">IF(B90="","",INDEX($F$60:$F$79,MATCH(B90,$A$60:$A$79,0)))</f>
        <v>0.0837065959664654</v>
      </c>
      <c r="F90" s="20" t="n">
        <f aca="false">IF(B90="","",INDEX($G$60:$G$79,MATCH(B90,$A$60:$A$79,0)))</f>
        <v>0.0837065959664654</v>
      </c>
    </row>
    <row r="91" customFormat="false" ht="15" hidden="false" customHeight="false" outlineLevel="0" collapsed="false">
      <c r="A91" s="6" t="n">
        <v>5</v>
      </c>
      <c r="B91" s="6" t="str">
        <f aca="false">IF(A91&gt;COUNT($V$60:$V$79),"",INDEX($A$60:$A$79,MATCH(LARGE($V$60:$V$79,A91),$V$60:$V$79,0)))</f>
        <v>Obliques &amp; serratus</v>
      </c>
      <c r="C91" s="20" t="n">
        <f aca="false">IF(B91="","",INDEX($D$60:$D$79,MATCH(B91,$A$60:$A$79,0)))</f>
        <v>0.0657893135798195</v>
      </c>
      <c r="D91" s="6" t="str">
        <f aca="false">IF(B91="","",INDEX($H$60:$H$79,MATCH(B91,$A$60:$A$79,0)))</f>
        <v>in line</v>
      </c>
      <c r="E91" s="20" t="n">
        <f aca="false">IF(B91="","",INDEX($F$60:$F$79,MATCH(B91,$A$60:$A$79,0)))</f>
        <v>0.047872031193174</v>
      </c>
      <c r="F91" s="20" t="n">
        <f aca="false">IF(B91="","",INDEX($G$60:$G$79,MATCH(B91,$A$60:$A$79,0)))</f>
        <v>0.0837065959664654</v>
      </c>
    </row>
    <row r="92" customFormat="false" ht="15" hidden="false" customHeight="false" outlineLevel="0" collapsed="false">
      <c r="A92" s="6" t="n">
        <v>6</v>
      </c>
      <c r="B92" s="6" t="str">
        <f aca="false">IF(A92&gt;COUNT($V$60:$V$79),"",INDEX($A$60:$A$79,MATCH(LARGE($V$60:$V$79,A92),$V$60:$V$79,0)))</f>
        <v>Upper traps</v>
      </c>
      <c r="C92" s="20" t="n">
        <f aca="false">IF(B92="","",INDEX($D$60:$D$79,MATCH(B92,$A$60:$A$79,0)))</f>
        <v>0.047872031193174</v>
      </c>
      <c r="D92" s="6" t="str">
        <f aca="false">IF(B92="","",INDEX($H$60:$H$79,MATCH(B92,$A$60:$A$79,0)))</f>
        <v>in line</v>
      </c>
      <c r="E92" s="20" t="n">
        <f aca="false">IF(B92="","",INDEX($F$60:$F$79,MATCH(B92,$A$60:$A$79,0)))</f>
        <v>0.047872031193174</v>
      </c>
      <c r="F92" s="20" t="n">
        <f aca="false">IF(B92="","",INDEX($G$60:$G$79,MATCH(B92,$A$60:$A$79,0)))</f>
        <v>0.047872031193174</v>
      </c>
    </row>
    <row r="93" customFormat="false" ht="15" hidden="false" customHeight="false" outlineLevel="0" collapsed="false">
      <c r="A93" s="6" t="n">
        <v>7</v>
      </c>
      <c r="B93" s="6" t="str">
        <f aca="false">IF(A93&gt;COUNT($V$60:$V$79),"",INDEX($A$60:$A$79,MATCH(LARGE($V$60:$V$79,A93),$V$60:$V$79,0)))</f>
        <v>Middle traps</v>
      </c>
      <c r="C93" s="20" t="n">
        <f aca="false">IF(B93="","",INDEX($D$60:$D$79,MATCH(B93,$A$60:$A$79,0)))</f>
        <v>0.047872031193174</v>
      </c>
      <c r="D93" s="6" t="str">
        <f aca="false">IF(B93="","",INDEX($H$60:$H$79,MATCH(B93,$A$60:$A$79,0)))</f>
        <v>in line</v>
      </c>
      <c r="E93" s="20" t="n">
        <f aca="false">IF(B93="","",INDEX($F$60:$F$79,MATCH(B93,$A$60:$A$79,0)))</f>
        <v>0.047872031193174</v>
      </c>
      <c r="F93" s="20" t="n">
        <f aca="false">IF(B93="","",INDEX($G$60:$G$79,MATCH(B93,$A$60:$A$79,0)))</f>
        <v>0.047872031193174</v>
      </c>
    </row>
    <row r="94" customFormat="false" ht="15" hidden="false" customHeight="false" outlineLevel="0" collapsed="false">
      <c r="A94" s="6" t="n">
        <v>8</v>
      </c>
      <c r="B94" s="6" t="str">
        <f aca="false">IF(A94&gt;COUNT($V$60:$V$79),"",INDEX($A$60:$A$79,MATCH(LARGE($V$60:$V$79,A94),$V$60:$V$79,0)))</f>
        <v>Forearms</v>
      </c>
      <c r="C94" s="20" t="n">
        <f aca="false">IF(B94="","",INDEX($D$60:$D$79,MATCH(B94,$A$60:$A$79,0)))</f>
        <v>0.047872031193174</v>
      </c>
      <c r="D94" s="6" t="str">
        <f aca="false">IF(B94="","",INDEX($H$60:$H$79,MATCH(B94,$A$60:$A$79,0)))</f>
        <v>in line</v>
      </c>
      <c r="E94" s="20" t="n">
        <f aca="false">IF(B94="","",INDEX($F$60:$F$79,MATCH(B94,$A$60:$A$79,0)))</f>
        <v>0.047872031193174</v>
      </c>
      <c r="F94" s="20" t="n">
        <f aca="false">IF(B94="","",INDEX($G$60:$G$79,MATCH(B94,$A$60:$A$79,0)))</f>
        <v>0.047872031193174</v>
      </c>
    </row>
    <row r="95" customFormat="false" ht="15" hidden="false" customHeight="false" outlineLevel="0" collapsed="false">
      <c r="A95" s="6" t="n">
        <v>9</v>
      </c>
      <c r="B95" s="6" t="str">
        <f aca="false">IF(A95&gt;COUNT($V$60:$V$79),"",INDEX($A$60:$A$79,MATCH(LARGE($V$60:$V$79,A95),$V$60:$V$79,0)))</f>
        <v>Abdominals</v>
      </c>
      <c r="C95" s="20" t="n">
        <f aca="false">IF(B95="","",INDEX($D$60:$D$79,MATCH(B95,$A$60:$A$79,0)))</f>
        <v>0.00754209091068869</v>
      </c>
      <c r="D95" s="6" t="str">
        <f aca="false">IF(B95="","",INDEX($H$60:$H$79,MATCH(B95,$A$60:$A$79,0)))</f>
        <v>mixed</v>
      </c>
      <c r="E95" s="20" t="n">
        <f aca="false">IF(B95="","",INDEX($F$60:$F$79,MATCH(B95,$A$60:$A$79,0)))</f>
        <v>-0.108952354427573</v>
      </c>
      <c r="F95" s="20" t="n">
        <f aca="false">IF(B95="","",INDEX($G$60:$G$79,MATCH(B95,$A$60:$A$79,0)))</f>
        <v>0.0837065959664654</v>
      </c>
    </row>
    <row r="96" customFormat="false" ht="15" hidden="false" customHeight="false" outlineLevel="0" collapsed="false">
      <c r="A96" s="6" t="n">
        <v>10</v>
      </c>
      <c r="B96" s="6" t="str">
        <f aca="false">IF(A96&gt;COUNT($V$60:$V$79),"",INDEX($A$60:$A$79,MATCH(LARGE($V$60:$V$79,A96),$V$60:$V$79,0)))</f>
        <v>Anterior delts</v>
      </c>
      <c r="C96" s="20" t="n">
        <f aca="false">IF(B96="","",INDEX($D$60:$D$79,MATCH(B96,$A$60:$A$79,0)))</f>
        <v>-0.0113131363660329</v>
      </c>
      <c r="D96" s="6" t="str">
        <f aca="false">IF(B96="","",INDEX($H$60:$H$79,MATCH(B96,$A$60:$A$79,0)))</f>
        <v>mixed</v>
      </c>
      <c r="E96" s="20" t="n">
        <f aca="false">IF(B96="","",INDEX($F$60:$F$79,MATCH(B96,$A$60:$A$79,0)))</f>
        <v>-0.146470150030622</v>
      </c>
      <c r="F96" s="20" t="n">
        <f aca="false">IF(B96="","",INDEX($G$60:$G$79,MATCH(B96,$A$60:$A$79,0)))</f>
        <v>0.123843877298557</v>
      </c>
    </row>
    <row r="97" customFormat="false" ht="15" hidden="false" customHeight="false" outlineLevel="0" collapsed="false">
      <c r="A97" s="6" t="n">
        <v>11</v>
      </c>
      <c r="B97" s="6" t="str">
        <f aca="false">IF(A97&gt;COUNT($V$60:$V$79),"",INDEX($A$60:$A$79,MATCH(LARGE($V$60:$V$79,A97),$V$60:$V$79,0)))</f>
        <v>Triceps</v>
      </c>
      <c r="C97" s="20" t="n">
        <f aca="false">IF(B97="","",INDEX($D$60:$D$79,MATCH(B97,$A$60:$A$79,0)))</f>
        <v>-0.0113131363660329</v>
      </c>
      <c r="D97" s="6" t="str">
        <f aca="false">IF(B97="","",INDEX($H$60:$H$79,MATCH(B97,$A$60:$A$79,0)))</f>
        <v>mixed</v>
      </c>
      <c r="E97" s="20" t="n">
        <f aca="false">IF(B97="","",INDEX($F$60:$F$79,MATCH(B97,$A$60:$A$79,0)))</f>
        <v>-0.146470150030622</v>
      </c>
      <c r="F97" s="20" t="n">
        <f aca="false">IF(B97="","",INDEX($G$60:$G$79,MATCH(B97,$A$60:$A$79,0)))</f>
        <v>0.123843877298557</v>
      </c>
    </row>
    <row r="98" customFormat="false" ht="15" hidden="false" customHeight="false" outlineLevel="0" collapsed="false">
      <c r="A98" s="6" t="n">
        <v>12</v>
      </c>
      <c r="B98" s="6" t="str">
        <f aca="false">IF(A98&gt;COUNT($V$60:$V$79),"",INDEX($A$60:$A$79,MATCH(LARGE($V$60:$V$79,A98),$V$60:$V$79,0)))</f>
        <v>Spinal erectors</v>
      </c>
      <c r="C98" s="20" t="n">
        <f aca="false">IF(B98="","",INDEX($D$60:$D$79,MATCH(B98,$A$60:$A$79,0)))</f>
        <v>-0.0305401616171996</v>
      </c>
      <c r="D98" s="6" t="str">
        <f aca="false">IF(B98="","",INDEX($H$60:$H$79,MATCH(B98,$A$60:$A$79,0)))</f>
        <v>mixed</v>
      </c>
      <c r="E98" s="20" t="n">
        <f aca="false">IF(B98="","",INDEX($F$60:$F$79,MATCH(B98,$A$60:$A$79,0)))</f>
        <v>-0.108952354427573</v>
      </c>
      <c r="F98" s="20" t="n">
        <f aca="false">IF(B98="","",INDEX($G$60:$G$79,MATCH(B98,$A$60:$A$79,0)))</f>
        <v>0.047872031193174</v>
      </c>
    </row>
    <row r="99" customFormat="false" ht="15" hidden="false" customHeight="false" outlineLevel="0" collapsed="false">
      <c r="A99" s="6" t="n">
        <v>13</v>
      </c>
      <c r="B99" s="6" t="str">
        <f aca="false">IF(A99&gt;COUNT($V$60:$V$79),"",INDEX($A$60:$A$79,MATCH(LARGE($V$60:$V$79,A99),$V$60:$V$79,0)))</f>
        <v>Hamstrings</v>
      </c>
      <c r="C99" s="20" t="n">
        <f aca="false">IF(B99="","",INDEX($D$60:$D$79,MATCH(B99,$A$60:$A$79,0)))</f>
        <v>-0.0305401616171996</v>
      </c>
      <c r="D99" s="6" t="str">
        <f aca="false">IF(B99="","",INDEX($H$60:$H$79,MATCH(B99,$A$60:$A$79,0)))</f>
        <v>mixed</v>
      </c>
      <c r="E99" s="20" t="n">
        <f aca="false">IF(B99="","",INDEX($F$60:$F$79,MATCH(B99,$A$60:$A$79,0)))</f>
        <v>-0.108952354427573</v>
      </c>
      <c r="F99" s="20" t="n">
        <f aca="false">IF(B99="","",INDEX($G$60:$G$79,MATCH(B99,$A$60:$A$79,0)))</f>
        <v>0.047872031193174</v>
      </c>
    </row>
    <row r="100" customFormat="false" ht="15" hidden="false" customHeight="false" outlineLevel="0" collapsed="false">
      <c r="A100" s="6" t="n">
        <v>14</v>
      </c>
      <c r="B100" s="6" t="str">
        <f aca="false">IF(A100&gt;COUNT($V$60:$V$79),"",INDEX($A$60:$A$79,MATCH(LARGE($V$60:$V$79,A100),$V$60:$V$79,0)))</f>
        <v>Glutes</v>
      </c>
      <c r="C100" s="20" t="n">
        <f aca="false">IF(B100="","",INDEX($D$60:$D$79,MATCH(B100,$A$60:$A$79,0)))</f>
        <v>-0.101486716704991</v>
      </c>
      <c r="D100" s="6" t="str">
        <f aca="false">IF(B100="","",INDEX($H$60:$H$79,MATCH(B100,$A$60:$A$79,0)))</f>
        <v>mixed</v>
      </c>
      <c r="E100" s="20" t="n">
        <f aca="false">IF(B100="","",INDEX($F$60:$F$79,MATCH(B100,$A$60:$A$79,0)))</f>
        <v>-0.243379826880575</v>
      </c>
      <c r="F100" s="20" t="n">
        <f aca="false">IF(B100="","",INDEX($G$60:$G$79,MATCH(B100,$A$60:$A$79,0)))</f>
        <v>0.047872031193174</v>
      </c>
    </row>
    <row r="101" customFormat="false" ht="15" hidden="false" customHeight="false" outlineLevel="0" collapsed="false">
      <c r="A101" s="6" t="n">
        <v>15</v>
      </c>
      <c r="B101" s="6" t="str">
        <f aca="false">IF(A101&gt;COUNT($V$60:$V$79),"",INDEX($A$60:$A$79,MATCH(LARGE($V$60:$V$79,A101),$V$60:$V$79,0)))</f>
        <v>Quads</v>
      </c>
      <c r="C101" s="20" t="n">
        <f aca="false">IF(B101="","",INDEX($D$60:$D$79,MATCH(B101,$A$60:$A$79,0)))</f>
        <v>-0.101486716704991</v>
      </c>
      <c r="D101" s="6" t="str">
        <f aca="false">IF(B101="","",INDEX($H$60:$H$79,MATCH(B101,$A$60:$A$79,0)))</f>
        <v>mixed</v>
      </c>
      <c r="E101" s="20" t="n">
        <f aca="false">IF(B101="","",INDEX($F$60:$F$79,MATCH(B101,$A$60:$A$79,0)))</f>
        <v>-0.243379826880575</v>
      </c>
      <c r="F101" s="20" t="n">
        <f aca="false">IF(B101="","",INDEX($G$60:$G$79,MATCH(B101,$A$60:$A$79,0)))</f>
        <v>0.047872031193174</v>
      </c>
    </row>
    <row r="102" customFormat="false" ht="15" hidden="false" customHeight="false" outlineLevel="0" collapsed="false">
      <c r="A102" s="6" t="n">
        <v>16</v>
      </c>
      <c r="B102" s="6" t="str">
        <f aca="false">IF(A102&gt;COUNT($V$60:$V$79),"",INDEX($A$60:$A$79,MATCH(LARGE($V$60:$V$79,A102),$V$60:$V$79,0)))</f>
        <v>Hip flexors</v>
      </c>
      <c r="C102" s="20" t="n">
        <f aca="false">IF(B102="","",INDEX($D$60:$D$79,MATCH(B102,$A$60:$A$79,0)))</f>
        <v>-0.108952354427573</v>
      </c>
      <c r="D102" s="6" t="str">
        <f aca="false">IF(B102="","",INDEX($H$60:$H$79,MATCH(B102,$A$60:$A$79,0)))</f>
        <v>weak</v>
      </c>
      <c r="E102" s="20" t="n">
        <f aca="false">IF(B102="","",INDEX($F$60:$F$79,MATCH(B102,$A$60:$A$79,0)))</f>
        <v>-0.108952354427573</v>
      </c>
      <c r="F102" s="20" t="n">
        <f aca="false">IF(B102="","",INDEX($G$60:$G$79,MATCH(B102,$A$60:$A$79,0)))</f>
        <v>-0.108952354427573</v>
      </c>
    </row>
    <row r="103" customFormat="false" ht="15" hidden="false" customHeight="false" outlineLevel="0" collapsed="false">
      <c r="A103" s="6" t="n">
        <v>17</v>
      </c>
      <c r="B103" s="6" t="str">
        <f aca="false">IF(A103&gt;COUNT($V$60:$V$79),"",INDEX($A$60:$A$79,MATCH(LARGE($V$60:$V$79,A103),$V$60:$V$79,0)))</f>
        <v>Pecs</v>
      </c>
      <c r="C103" s="20" t="n">
        <f aca="false">IF(B103="","",INDEX($D$60:$D$79,MATCH(B103,$A$60:$A$79,0)))</f>
        <v>-0.146470150030622</v>
      </c>
      <c r="D103" s="6" t="str">
        <f aca="false">IF(B103="","",INDEX($H$60:$H$79,MATCH(B103,$A$60:$A$79,0)))</f>
        <v>weak</v>
      </c>
      <c r="E103" s="20" t="n">
        <f aca="false">IF(B103="","",INDEX($F$60:$F$79,MATCH(B103,$A$60:$A$79,0)))</f>
        <v>-0.146470150030622</v>
      </c>
      <c r="F103" s="20" t="n">
        <f aca="false">IF(B103="","",INDEX($G$60:$G$79,MATCH(B103,$A$60:$A$79,0)))</f>
        <v>-0.146470150030622</v>
      </c>
    </row>
    <row r="104" customFormat="false" ht="15" hidden="false" customHeight="false" outlineLevel="0" collapsed="false">
      <c r="A104" s="6" t="n">
        <v>18</v>
      </c>
      <c r="B104" s="6" t="str">
        <f aca="false">IF(A104&gt;COUNT($V$60:$V$79),"",INDEX($A$60:$A$79,MATCH(LARGE($V$60:$V$79,A104),$V$60:$V$79,0)))</f>
        <v>Hip adductors</v>
      </c>
      <c r="C104" s="20" t="n">
        <f aca="false">IF(B104="","",INDEX($D$60:$D$79,MATCH(B104,$A$60:$A$79,0)))</f>
        <v>-0.176166090654074</v>
      </c>
      <c r="D104" s="6" t="str">
        <f aca="false">IF(B104="","",INDEX($H$60:$H$79,MATCH(B104,$A$60:$A$79,0)))</f>
        <v>weak</v>
      </c>
      <c r="E104" s="20" t="n">
        <f aca="false">IF(B104="","",INDEX($F$60:$F$79,MATCH(B104,$A$60:$A$79,0)))</f>
        <v>-0.243379826880575</v>
      </c>
      <c r="F104" s="20" t="n">
        <f aca="false">IF(B104="","",INDEX($G$60:$G$79,MATCH(B104,$A$60:$A$79,0)))</f>
        <v>-0.108952354427573</v>
      </c>
    </row>
    <row r="105" customFormat="false" ht="15" hidden="false" customHeight="false" outlineLevel="0" collapsed="false">
      <c r="A105" s="6" t="n">
        <v>19</v>
      </c>
      <c r="B105" s="6" t="str">
        <f aca="false">IF(A105&gt;COUNT($V$60:$V$79),"",INDEX($A$60:$A$79,MATCH(LARGE($V$60:$V$79,A105),$V$60:$V$79,0)))</f>
        <v/>
      </c>
      <c r="C105" s="20" t="str">
        <f aca="false">IF(B105="","",INDEX($D$60:$D$79,MATCH(B105,$A$60:$A$79,0)))</f>
        <v/>
      </c>
      <c r="D105" s="6" t="str">
        <f aca="false">IF(B105="","",INDEX($H$60:$H$79,MATCH(B105,$A$60:$A$79,0)))</f>
        <v/>
      </c>
      <c r="E105" s="20" t="str">
        <f aca="false">IF(B105="","",INDEX($F$60:$F$79,MATCH(B105,$A$60:$A$79,0)))</f>
        <v/>
      </c>
      <c r="F105" s="20" t="str">
        <f aca="false">IF(B105="","",INDEX($G$60:$G$79,MATCH(B105,$A$60:$A$79,0)))</f>
        <v/>
      </c>
    </row>
    <row r="106" customFormat="false" ht="15" hidden="false" customHeight="false" outlineLevel="0" collapsed="false">
      <c r="A106" s="6" t="n">
        <v>20</v>
      </c>
      <c r="B106" s="6" t="str">
        <f aca="false">IF(A106&gt;COUNT($V$60:$V$79),"",INDEX($A$60:$A$79,MATCH(LARGE($V$60:$V$79,A106),$V$60:$V$79,0)))</f>
        <v/>
      </c>
      <c r="C106" s="20" t="str">
        <f aca="false">IF(B106="","",INDEX($D$60:$D$79,MATCH(B106,$A$60:$A$79,0)))</f>
        <v/>
      </c>
      <c r="D106" s="6" t="str">
        <f aca="false">IF(B106="","",INDEX($H$60:$H$79,MATCH(B106,$A$60:$A$79,0)))</f>
        <v/>
      </c>
      <c r="E106" s="20" t="str">
        <f aca="false">IF(B106="","",INDEX($F$60:$F$79,MATCH(B106,$A$60:$A$79,0)))</f>
        <v/>
      </c>
      <c r="F106" s="20" t="str">
        <f aca="false">IF(B106="","",INDEX($G$60:$G$79,MATCH(B106,$A$60:$A$79,0)))</f>
        <v/>
      </c>
    </row>
    <row r="107" customFormat="false" ht="15" hidden="false" customHeight="false" outlineLevel="0" collapsed="false">
      <c r="A107" s="7" t="s">
        <v>863</v>
      </c>
    </row>
    <row r="109" customFormat="false" ht="16.15" hidden="false" customHeight="false" outlineLevel="0" collapsed="false">
      <c r="A109" s="11" t="s">
        <v>864</v>
      </c>
    </row>
    <row r="110" customFormat="false" ht="15" hidden="false" customHeight="false" outlineLevel="0" collapsed="false">
      <c r="A110" s="7" t="s">
        <v>865</v>
      </c>
    </row>
    <row r="111" customFormat="false" ht="15" hidden="false" customHeight="false" outlineLevel="0" collapsed="false">
      <c r="A111" s="4" t="s">
        <v>698</v>
      </c>
      <c r="B111" s="4" t="s">
        <v>866</v>
      </c>
      <c r="C111" s="4" t="s">
        <v>867</v>
      </c>
      <c r="D111" s="4" t="s">
        <v>868</v>
      </c>
      <c r="E111" s="4" t="s">
        <v>869</v>
      </c>
      <c r="F111" s="4" t="s">
        <v>870</v>
      </c>
      <c r="G111" s="4" t="s">
        <v>871</v>
      </c>
      <c r="H111" s="4" t="s">
        <v>872</v>
      </c>
      <c r="I111" s="4" t="s">
        <v>873</v>
      </c>
      <c r="J111" s="4" t="s">
        <v>874</v>
      </c>
      <c r="K111" s="4" t="s">
        <v>875</v>
      </c>
    </row>
    <row r="112" customFormat="false" ht="15" hidden="false" customHeight="false" outlineLevel="0" collapsed="false">
      <c r="A112" s="6" t="str">
        <f aca="false">A12</f>
        <v>Back squat</v>
      </c>
      <c r="B112" s="17" t="n">
        <f aca="false">IF($F$12="","",$F$12*(p_wathan_a+p_wathan_b*EXP(-p_wathan_k*1))/100-IF(Parameters!$D$196=1,m_weight,0))</f>
        <v>57.5408108051629</v>
      </c>
      <c r="C112" s="17" t="n">
        <f aca="false">IF($F$12="","",$F$12*(p_wathan_a+p_wathan_b*EXP(-p_wathan_k*2))/100-IF(Parameters!$D$196=1,m_weight,0))</f>
        <v>55.4385306970851</v>
      </c>
      <c r="D112" s="17" t="n">
        <f aca="false">IF($F$12="","",$F$12*(p_wathan_a+p_wathan_b*EXP(-p_wathan_k*3))/100-IF(Parameters!$D$196=1,m_weight,0))</f>
        <v>53.4881540203777</v>
      </c>
      <c r="E112" s="17" t="n">
        <f aca="false">IF($F$12="","",$F$12*(p_wathan_a+p_wathan_b*EXP(-p_wathan_k*4))/100-IF(Parameters!$D$196=1,m_weight,0))</f>
        <v>51.6787047626754</v>
      </c>
      <c r="F112" s="17" t="n">
        <f aca="false">IF($F$12="","",$F$12*(p_wathan_a+p_wathan_b*EXP(-p_wathan_k*5))/100-IF(Parameters!$D$196=1,m_weight,0))</f>
        <v>50</v>
      </c>
      <c r="G112" s="17" t="n">
        <f aca="false">IF($F$12="","",$F$12*(p_wathan_a+p_wathan_b*EXP(-p_wathan_k*6))/100-IF(Parameters!$D$196=1,m_weight,0))</f>
        <v>48.4425925909592</v>
      </c>
      <c r="H112" s="17" t="n">
        <f aca="false">IF($F$12="","",$F$12*(p_wathan_a+p_wathan_b*EXP(-p_wathan_k*7))/100-IF(Parameters!$D$196=1,m_weight,0))</f>
        <v>46.9977180116618</v>
      </c>
      <c r="I112" s="17" t="n">
        <f aca="false">IF($F$12="","",$F$12*(p_wathan_a+p_wathan_b*EXP(-p_wathan_k*8))/100-IF(Parameters!$D$196=1,m_weight,0))</f>
        <v>45.6572450321569</v>
      </c>
      <c r="J112" s="17" t="n">
        <f aca="false">IF($F$12="","",$F$12*(p_wathan_a+p_wathan_b*EXP(-p_wathan_k*9))/100-IF(Parameters!$D$196=1,m_weight,0))</f>
        <v>44.4136299568217</v>
      </c>
      <c r="K112" s="17" t="n">
        <f aca="false">IF($F$12="","",$F$12*(p_wathan_a+p_wathan_b*EXP(-p_wathan_k*10))/100-IF(Parameters!$D$196=1,m_weight,0))</f>
        <v>43.2598741711796</v>
      </c>
    </row>
    <row r="113" customFormat="false" ht="15" hidden="false" customHeight="false" outlineLevel="0" collapsed="false">
      <c r="A113" s="6" t="str">
        <f aca="false">A13</f>
        <v>Front squat</v>
      </c>
      <c r="B113" s="17" t="str">
        <f aca="false">IF($F$13="","",$F$13*(p_wathan_a+p_wathan_b*EXP(-p_wathan_k*1))/100-IF(Parameters!$D$197=1,m_weight,0))</f>
        <v/>
      </c>
      <c r="C113" s="17" t="str">
        <f aca="false">IF($F$13="","",$F$13*(p_wathan_a+p_wathan_b*EXP(-p_wathan_k*2))/100-IF(Parameters!$D$197=1,m_weight,0))</f>
        <v/>
      </c>
      <c r="D113" s="17" t="str">
        <f aca="false">IF($F$13="","",$F$13*(p_wathan_a+p_wathan_b*EXP(-p_wathan_k*3))/100-IF(Parameters!$D$197=1,m_weight,0))</f>
        <v/>
      </c>
      <c r="E113" s="17" t="str">
        <f aca="false">IF($F$13="","",$F$13*(p_wathan_a+p_wathan_b*EXP(-p_wathan_k*4))/100-IF(Parameters!$D$197=1,m_weight,0))</f>
        <v/>
      </c>
      <c r="F113" s="17" t="str">
        <f aca="false">IF($F$13="","",$F$13*(p_wathan_a+p_wathan_b*EXP(-p_wathan_k*5))/100-IF(Parameters!$D$197=1,m_weight,0))</f>
        <v/>
      </c>
      <c r="G113" s="17" t="str">
        <f aca="false">IF($F$13="","",$F$13*(p_wathan_a+p_wathan_b*EXP(-p_wathan_k*6))/100-IF(Parameters!$D$197=1,m_weight,0))</f>
        <v/>
      </c>
      <c r="H113" s="17" t="str">
        <f aca="false">IF($F$13="","",$F$13*(p_wathan_a+p_wathan_b*EXP(-p_wathan_k*7))/100-IF(Parameters!$D$197=1,m_weight,0))</f>
        <v/>
      </c>
      <c r="I113" s="17" t="str">
        <f aca="false">IF($F$13="","",$F$13*(p_wathan_a+p_wathan_b*EXP(-p_wathan_k*8))/100-IF(Parameters!$D$197=1,m_weight,0))</f>
        <v/>
      </c>
      <c r="J113" s="17" t="str">
        <f aca="false">IF($F$13="","",$F$13*(p_wathan_a+p_wathan_b*EXP(-p_wathan_k*9))/100-IF(Parameters!$D$197=1,m_weight,0))</f>
        <v/>
      </c>
      <c r="K113" s="17" t="str">
        <f aca="false">IF($F$13="","",$F$13*(p_wathan_a+p_wathan_b*EXP(-p_wathan_k*10))/100-IF(Parameters!$D$197=1,m_weight,0))</f>
        <v/>
      </c>
    </row>
    <row r="114" customFormat="false" ht="15" hidden="false" customHeight="false" outlineLevel="0" collapsed="false">
      <c r="A114" s="6" t="str">
        <f aca="false">A14</f>
        <v>45-degree leg press</v>
      </c>
      <c r="B114" s="17" t="n">
        <f aca="false">IF($F$14="","",$F$14*(p_wathan_a+p_wathan_b*EXP(-p_wathan_k*1))/100-IF(Parameters!$D$198=1,m_weight,0))</f>
        <v>159.614363862845</v>
      </c>
      <c r="C114" s="17" t="n">
        <f aca="false">IF($F$14="","",$F$14*(p_wathan_a+p_wathan_b*EXP(-p_wathan_k*2))/100-IF(Parameters!$D$198=1,m_weight,0))</f>
        <v>153.782779333239</v>
      </c>
      <c r="D114" s="17" t="n">
        <f aca="false">IF($F$14="","",$F$14*(p_wathan_a+p_wathan_b*EXP(-p_wathan_k*3))/100-IF(Parameters!$D$198=1,m_weight,0))</f>
        <v>148.372564770923</v>
      </c>
      <c r="E114" s="17" t="n">
        <f aca="false">IF($F$14="","",$F$14*(p_wathan_a+p_wathan_b*EXP(-p_wathan_k*4))/100-IF(Parameters!$D$198=1,m_weight,0))</f>
        <v>143.353273451094</v>
      </c>
      <c r="F114" s="17" t="n">
        <f aca="false">IF($F$14="","",$F$14*(p_wathan_a+p_wathan_b*EXP(-p_wathan_k*5))/100-IF(Parameters!$D$198=1,m_weight,0))</f>
        <v>138.696658623138</v>
      </c>
      <c r="G114" s="17" t="n">
        <f aca="false">IF($F$14="","",$F$14*(p_wathan_a+p_wathan_b*EXP(-p_wathan_k*6))/100-IF(Parameters!$D$198=1,m_weight,0))</f>
        <v>134.37651454816</v>
      </c>
      <c r="H114" s="17" t="n">
        <f aca="false">IF($F$14="","",$F$14*(p_wathan_a+p_wathan_b*EXP(-p_wathan_k*7))/100-IF(Parameters!$D$198=1,m_weight,0))</f>
        <v>130.368529022599</v>
      </c>
      <c r="I114" s="17" t="n">
        <f aca="false">IF($F$14="","",$F$14*(p_wathan_a+p_wathan_b*EXP(-p_wathan_k*8))/100-IF(Parameters!$D$198=1,m_weight,0))</f>
        <v>126.65014655796</v>
      </c>
      <c r="J114" s="17" t="n">
        <f aca="false">IF($F$14="","",$F$14*(p_wathan_a+p_wathan_b*EXP(-p_wathan_k*9))/100-IF(Parameters!$D$198=1,m_weight,0))</f>
        <v>123.200441446714</v>
      </c>
      <c r="K114" s="17" t="n">
        <f aca="false">IF($F$14="","",$F$14*(p_wathan_a+p_wathan_b*EXP(-p_wathan_k*10))/100-IF(Parameters!$D$198=1,m_weight,0))</f>
        <v>120</v>
      </c>
    </row>
    <row r="115" customFormat="false" ht="15" hidden="false" customHeight="false" outlineLevel="0" collapsed="false">
      <c r="A115" s="6" t="str">
        <f aca="false">A15</f>
        <v>Deadlift</v>
      </c>
      <c r="B115" s="17" t="n">
        <f aca="false">IF($F$15="","",$F$15*(p_wathan_a+p_wathan_b*EXP(-p_wathan_k*1))/100-IF(Parameters!$D$199=1,m_weight,0))</f>
        <v>80.5571351272281</v>
      </c>
      <c r="C115" s="17" t="n">
        <f aca="false">IF($F$15="","",$F$15*(p_wathan_a+p_wathan_b*EXP(-p_wathan_k*2))/100-IF(Parameters!$D$199=1,m_weight,0))</f>
        <v>77.6139429759191</v>
      </c>
      <c r="D115" s="17" t="n">
        <f aca="false">IF($F$15="","",$F$15*(p_wathan_a+p_wathan_b*EXP(-p_wathan_k*3))/100-IF(Parameters!$D$199=1,m_weight,0))</f>
        <v>74.8834156285288</v>
      </c>
      <c r="E115" s="17" t="n">
        <f aca="false">IF($F$15="","",$F$15*(p_wathan_a+p_wathan_b*EXP(-p_wathan_k*4))/100-IF(Parameters!$D$199=1,m_weight,0))</f>
        <v>72.3501866677455</v>
      </c>
      <c r="F115" s="17" t="n">
        <f aca="false">IF($F$15="","",$F$15*(p_wathan_a+p_wathan_b*EXP(-p_wathan_k*5))/100-IF(Parameters!$D$199=1,m_weight,0))</f>
        <v>70</v>
      </c>
      <c r="G115" s="17" t="n">
        <f aca="false">IF($F$15="","",$F$15*(p_wathan_a+p_wathan_b*EXP(-p_wathan_k*6))/100-IF(Parameters!$D$199=1,m_weight,0))</f>
        <v>67.8196296273429</v>
      </c>
      <c r="H115" s="17" t="n">
        <f aca="false">IF($F$15="","",$F$15*(p_wathan_a+p_wathan_b*EXP(-p_wathan_k*7))/100-IF(Parameters!$D$199=1,m_weight,0))</f>
        <v>65.7968052163265</v>
      </c>
      <c r="I115" s="17" t="n">
        <f aca="false">IF($F$15="","",$F$15*(p_wathan_a+p_wathan_b*EXP(-p_wathan_k*8))/100-IF(Parameters!$D$199=1,m_weight,0))</f>
        <v>63.9201430450196</v>
      </c>
      <c r="J115" s="17" t="n">
        <f aca="false">IF($F$15="","",$F$15*(p_wathan_a+p_wathan_b*EXP(-p_wathan_k*9))/100-IF(Parameters!$D$199=1,m_weight,0))</f>
        <v>62.1790819395504</v>
      </c>
      <c r="K115" s="17" t="n">
        <f aca="false">IF($F$15="","",$F$15*(p_wathan_a+p_wathan_b*EXP(-p_wathan_k*10))/100-IF(Parameters!$D$199=1,m_weight,0))</f>
        <v>60.5638238396514</v>
      </c>
    </row>
    <row r="116" customFormat="false" ht="15" hidden="false" customHeight="false" outlineLevel="0" collapsed="false">
      <c r="A116" s="6" t="str">
        <f aca="false">A16</f>
        <v>Sumo deadlift</v>
      </c>
      <c r="B116" s="17" t="str">
        <f aca="false">IF($F$16="","",$F$16*(p_wathan_a+p_wathan_b*EXP(-p_wathan_k*1))/100-IF(Parameters!$D$200=1,m_weight,0))</f>
        <v/>
      </c>
      <c r="C116" s="17" t="str">
        <f aca="false">IF($F$16="","",$F$16*(p_wathan_a+p_wathan_b*EXP(-p_wathan_k*2))/100-IF(Parameters!$D$200=1,m_weight,0))</f>
        <v/>
      </c>
      <c r="D116" s="17" t="str">
        <f aca="false">IF($F$16="","",$F$16*(p_wathan_a+p_wathan_b*EXP(-p_wathan_k*3))/100-IF(Parameters!$D$200=1,m_weight,0))</f>
        <v/>
      </c>
      <c r="E116" s="17" t="str">
        <f aca="false">IF($F$16="","",$F$16*(p_wathan_a+p_wathan_b*EXP(-p_wathan_k*4))/100-IF(Parameters!$D$200=1,m_weight,0))</f>
        <v/>
      </c>
      <c r="F116" s="17" t="str">
        <f aca="false">IF($F$16="","",$F$16*(p_wathan_a+p_wathan_b*EXP(-p_wathan_k*5))/100-IF(Parameters!$D$200=1,m_weight,0))</f>
        <v/>
      </c>
      <c r="G116" s="17" t="str">
        <f aca="false">IF($F$16="","",$F$16*(p_wathan_a+p_wathan_b*EXP(-p_wathan_k*6))/100-IF(Parameters!$D$200=1,m_weight,0))</f>
        <v/>
      </c>
      <c r="H116" s="17" t="str">
        <f aca="false">IF($F$16="","",$F$16*(p_wathan_a+p_wathan_b*EXP(-p_wathan_k*7))/100-IF(Parameters!$D$200=1,m_weight,0))</f>
        <v/>
      </c>
      <c r="I116" s="17" t="str">
        <f aca="false">IF($F$16="","",$F$16*(p_wathan_a+p_wathan_b*EXP(-p_wathan_k*8))/100-IF(Parameters!$D$200=1,m_weight,0))</f>
        <v/>
      </c>
      <c r="J116" s="17" t="str">
        <f aca="false">IF($F$16="","",$F$16*(p_wathan_a+p_wathan_b*EXP(-p_wathan_k*9))/100-IF(Parameters!$D$200=1,m_weight,0))</f>
        <v/>
      </c>
      <c r="K116" s="17" t="str">
        <f aca="false">IF($F$16="","",$F$16*(p_wathan_a+p_wathan_b*EXP(-p_wathan_k*10))/100-IF(Parameters!$D$200=1,m_weight,0))</f>
        <v/>
      </c>
    </row>
    <row r="117" customFormat="false" ht="15" hidden="false" customHeight="false" outlineLevel="0" collapsed="false">
      <c r="A117" s="6" t="str">
        <f aca="false">A17</f>
        <v>Power clean</v>
      </c>
      <c r="B117" s="17" t="str">
        <f aca="false">IF($F$17="","",$F$17*(p_wathan_a+p_wathan_b*EXP(-p_wathan_k*1))/100-IF(Parameters!$D$201=1,m_weight,0))</f>
        <v/>
      </c>
      <c r="C117" s="17" t="str">
        <f aca="false">IF($F$17="","",$F$17*(p_wathan_a+p_wathan_b*EXP(-p_wathan_k*2))/100-IF(Parameters!$D$201=1,m_weight,0))</f>
        <v/>
      </c>
      <c r="D117" s="17" t="str">
        <f aca="false">IF($F$17="","",$F$17*(p_wathan_a+p_wathan_b*EXP(-p_wathan_k*3))/100-IF(Parameters!$D$201=1,m_weight,0))</f>
        <v/>
      </c>
      <c r="E117" s="17" t="str">
        <f aca="false">IF($F$17="","",$F$17*(p_wathan_a+p_wathan_b*EXP(-p_wathan_k*4))/100-IF(Parameters!$D$201=1,m_weight,0))</f>
        <v/>
      </c>
      <c r="F117" s="17" t="str">
        <f aca="false">IF($F$17="","",$F$17*(p_wathan_a+p_wathan_b*EXP(-p_wathan_k*5))/100-IF(Parameters!$D$201=1,m_weight,0))</f>
        <v/>
      </c>
      <c r="G117" s="17" t="str">
        <f aca="false">IF($F$17="","",$F$17*(p_wathan_a+p_wathan_b*EXP(-p_wathan_k*6))/100-IF(Parameters!$D$201=1,m_weight,0))</f>
        <v/>
      </c>
      <c r="H117" s="17" t="str">
        <f aca="false">IF($F$17="","",$F$17*(p_wathan_a+p_wathan_b*EXP(-p_wathan_k*7))/100-IF(Parameters!$D$201=1,m_weight,0))</f>
        <v/>
      </c>
      <c r="I117" s="17" t="str">
        <f aca="false">IF($F$17="","",$F$17*(p_wathan_a+p_wathan_b*EXP(-p_wathan_k*8))/100-IF(Parameters!$D$201=1,m_weight,0))</f>
        <v/>
      </c>
      <c r="J117" s="17" t="str">
        <f aca="false">IF($F$17="","",$F$17*(p_wathan_a+p_wathan_b*EXP(-p_wathan_k*9))/100-IF(Parameters!$D$201=1,m_weight,0))</f>
        <v/>
      </c>
      <c r="K117" s="17" t="str">
        <f aca="false">IF($F$17="","",$F$17*(p_wathan_a+p_wathan_b*EXP(-p_wathan_k*10))/100-IF(Parameters!$D$201=1,m_weight,0))</f>
        <v/>
      </c>
    </row>
    <row r="118" customFormat="false" ht="15" hidden="false" customHeight="false" outlineLevel="0" collapsed="false">
      <c r="A118" s="6" t="str">
        <f aca="false">A18</f>
        <v>Bench press</v>
      </c>
      <c r="B118" s="17" t="n">
        <f aca="false">IF($F$18="","",$F$18*(p_wathan_a+p_wathan_b*EXP(-p_wathan_k*1))/100-IF(Parameters!$D$202=1,m_weight,0))</f>
        <v>37.4015270233559</v>
      </c>
      <c r="C118" s="17" t="n">
        <f aca="false">IF($F$18="","",$F$18*(p_wathan_a+p_wathan_b*EXP(-p_wathan_k*2))/100-IF(Parameters!$D$202=1,m_weight,0))</f>
        <v>36.0350449531053</v>
      </c>
      <c r="D118" s="17" t="n">
        <f aca="false">IF($F$18="","",$F$18*(p_wathan_a+p_wathan_b*EXP(-p_wathan_k*3))/100-IF(Parameters!$D$202=1,m_weight,0))</f>
        <v>34.7673001132455</v>
      </c>
      <c r="E118" s="17" t="n">
        <f aca="false">IF($F$18="","",$F$18*(p_wathan_a+p_wathan_b*EXP(-p_wathan_k*4))/100-IF(Parameters!$D$202=1,m_weight,0))</f>
        <v>33.591158095739</v>
      </c>
      <c r="F118" s="17" t="n">
        <f aca="false">IF($F$18="","",$F$18*(p_wathan_a+p_wathan_b*EXP(-p_wathan_k*5))/100-IF(Parameters!$D$202=1,m_weight,0))</f>
        <v>32.5</v>
      </c>
      <c r="G118" s="17" t="n">
        <f aca="false">IF($F$18="","",$F$18*(p_wathan_a+p_wathan_b*EXP(-p_wathan_k*6))/100-IF(Parameters!$D$202=1,m_weight,0))</f>
        <v>31.4876851841235</v>
      </c>
      <c r="H118" s="17" t="n">
        <f aca="false">IF($F$18="","",$F$18*(p_wathan_a+p_wathan_b*EXP(-p_wathan_k*7))/100-IF(Parameters!$D$202=1,m_weight,0))</f>
        <v>30.5485167075801</v>
      </c>
      <c r="I118" s="17" t="n">
        <f aca="false">IF($F$18="","",$F$18*(p_wathan_a+p_wathan_b*EXP(-p_wathan_k*8))/100-IF(Parameters!$D$202=1,m_weight,0))</f>
        <v>29.677209270902</v>
      </c>
      <c r="J118" s="17" t="n">
        <f aca="false">IF($F$18="","",$F$18*(p_wathan_a+p_wathan_b*EXP(-p_wathan_k*9))/100-IF(Parameters!$D$202=1,m_weight,0))</f>
        <v>28.8688594719341</v>
      </c>
      <c r="K118" s="17" t="n">
        <f aca="false">IF($F$18="","",$F$18*(p_wathan_a+p_wathan_b*EXP(-p_wathan_k*10))/100-IF(Parameters!$D$202=1,m_weight,0))</f>
        <v>28.1189182112667</v>
      </c>
    </row>
    <row r="119" customFormat="false" ht="15" hidden="false" customHeight="false" outlineLevel="0" collapsed="false">
      <c r="A119" s="6" t="str">
        <f aca="false">A19</f>
        <v>Incline bench press</v>
      </c>
      <c r="B119" s="17" t="str">
        <f aca="false">IF($F$19="","",$F$19*(p_wathan_a+p_wathan_b*EXP(-p_wathan_k*1))/100-IF(Parameters!$D$203=1,m_weight,0))</f>
        <v/>
      </c>
      <c r="C119" s="17" t="str">
        <f aca="false">IF($F$19="","",$F$19*(p_wathan_a+p_wathan_b*EXP(-p_wathan_k*2))/100-IF(Parameters!$D$203=1,m_weight,0))</f>
        <v/>
      </c>
      <c r="D119" s="17" t="str">
        <f aca="false">IF($F$19="","",$F$19*(p_wathan_a+p_wathan_b*EXP(-p_wathan_k*3))/100-IF(Parameters!$D$203=1,m_weight,0))</f>
        <v/>
      </c>
      <c r="E119" s="17" t="str">
        <f aca="false">IF($F$19="","",$F$19*(p_wathan_a+p_wathan_b*EXP(-p_wathan_k*4))/100-IF(Parameters!$D$203=1,m_weight,0))</f>
        <v/>
      </c>
      <c r="F119" s="17" t="str">
        <f aca="false">IF($F$19="","",$F$19*(p_wathan_a+p_wathan_b*EXP(-p_wathan_k*5))/100-IF(Parameters!$D$203=1,m_weight,0))</f>
        <v/>
      </c>
      <c r="G119" s="17" t="str">
        <f aca="false">IF($F$19="","",$F$19*(p_wathan_a+p_wathan_b*EXP(-p_wathan_k*6))/100-IF(Parameters!$D$203=1,m_weight,0))</f>
        <v/>
      </c>
      <c r="H119" s="17" t="str">
        <f aca="false">IF($F$19="","",$F$19*(p_wathan_a+p_wathan_b*EXP(-p_wathan_k*7))/100-IF(Parameters!$D$203=1,m_weight,0))</f>
        <v/>
      </c>
      <c r="I119" s="17" t="str">
        <f aca="false">IF($F$19="","",$F$19*(p_wathan_a+p_wathan_b*EXP(-p_wathan_k*8))/100-IF(Parameters!$D$203=1,m_weight,0))</f>
        <v/>
      </c>
      <c r="J119" s="17" t="str">
        <f aca="false">IF($F$19="","",$F$19*(p_wathan_a+p_wathan_b*EXP(-p_wathan_k*9))/100-IF(Parameters!$D$203=1,m_weight,0))</f>
        <v/>
      </c>
      <c r="K119" s="17" t="str">
        <f aca="false">IF($F$19="","",$F$19*(p_wathan_a+p_wathan_b*EXP(-p_wathan_k*10))/100-IF(Parameters!$D$203=1,m_weight,0))</f>
        <v/>
      </c>
    </row>
    <row r="120" customFormat="false" ht="15" hidden="false" customHeight="false" outlineLevel="0" collapsed="false">
      <c r="A120" s="6" t="str">
        <f aca="false">A20</f>
        <v>Dip</v>
      </c>
      <c r="B120" s="17" t="str">
        <f aca="false">IF($F$20="","",$F$20*(p_wathan_a+p_wathan_b*EXP(-p_wathan_k*1))/100-IF(Parameters!$D$204=1,m_weight,0))</f>
        <v/>
      </c>
      <c r="C120" s="17" t="str">
        <f aca="false">IF($F$20="","",$F$20*(p_wathan_a+p_wathan_b*EXP(-p_wathan_k*2))/100-IF(Parameters!$D$204=1,m_weight,0))</f>
        <v/>
      </c>
      <c r="D120" s="17" t="str">
        <f aca="false">IF($F$20="","",$F$20*(p_wathan_a+p_wathan_b*EXP(-p_wathan_k*3))/100-IF(Parameters!$D$204=1,m_weight,0))</f>
        <v/>
      </c>
      <c r="E120" s="17" t="str">
        <f aca="false">IF($F$20="","",$F$20*(p_wathan_a+p_wathan_b*EXP(-p_wathan_k*4))/100-IF(Parameters!$D$204=1,m_weight,0))</f>
        <v/>
      </c>
      <c r="F120" s="17" t="str">
        <f aca="false">IF($F$20="","",$F$20*(p_wathan_a+p_wathan_b*EXP(-p_wathan_k*5))/100-IF(Parameters!$D$204=1,m_weight,0))</f>
        <v/>
      </c>
      <c r="G120" s="17" t="str">
        <f aca="false">IF($F$20="","",$F$20*(p_wathan_a+p_wathan_b*EXP(-p_wathan_k*6))/100-IF(Parameters!$D$204=1,m_weight,0))</f>
        <v/>
      </c>
      <c r="H120" s="17" t="str">
        <f aca="false">IF($F$20="","",$F$20*(p_wathan_a+p_wathan_b*EXP(-p_wathan_k*7))/100-IF(Parameters!$D$204=1,m_weight,0))</f>
        <v/>
      </c>
      <c r="I120" s="17" t="str">
        <f aca="false">IF($F$20="","",$F$20*(p_wathan_a+p_wathan_b*EXP(-p_wathan_k*8))/100-IF(Parameters!$D$204=1,m_weight,0))</f>
        <v/>
      </c>
      <c r="J120" s="17" t="str">
        <f aca="false">IF($F$20="","",$F$20*(p_wathan_a+p_wathan_b*EXP(-p_wathan_k*9))/100-IF(Parameters!$D$204=1,m_weight,0))</f>
        <v/>
      </c>
      <c r="K120" s="17" t="str">
        <f aca="false">IF($F$20="","",$F$20*(p_wathan_a+p_wathan_b*EXP(-p_wathan_k*10))/100-IF(Parameters!$D$204=1,m_weight,0))</f>
        <v/>
      </c>
    </row>
    <row r="121" customFormat="false" ht="15" hidden="false" customHeight="false" outlineLevel="0" collapsed="false">
      <c r="A121" s="6" t="str">
        <f aca="false">A21</f>
        <v>Overhead press</v>
      </c>
      <c r="B121" s="17" t="n">
        <f aca="false">IF($F$21="","",$F$21*(p_wathan_a+p_wathan_b*EXP(-p_wathan_k*1))/100-IF(Parameters!$D$205=1,m_weight,0))</f>
        <v>28.7704054025815</v>
      </c>
      <c r="C121" s="17" t="n">
        <f aca="false">IF($F$21="","",$F$21*(p_wathan_a+p_wathan_b*EXP(-p_wathan_k*2))/100-IF(Parameters!$D$205=1,m_weight,0))</f>
        <v>27.7192653485425</v>
      </c>
      <c r="D121" s="17" t="n">
        <f aca="false">IF($F$21="","",$F$21*(p_wathan_a+p_wathan_b*EXP(-p_wathan_k*3))/100-IF(Parameters!$D$205=1,m_weight,0))</f>
        <v>26.7440770101889</v>
      </c>
      <c r="E121" s="17" t="n">
        <f aca="false">IF($F$21="","",$F$21*(p_wathan_a+p_wathan_b*EXP(-p_wathan_k*4))/100-IF(Parameters!$D$205=1,m_weight,0))</f>
        <v>25.8393523813377</v>
      </c>
      <c r="F121" s="17" t="n">
        <f aca="false">IF($F$21="","",$F$21*(p_wathan_a+p_wathan_b*EXP(-p_wathan_k*5))/100-IF(Parameters!$D$205=1,m_weight,0))</f>
        <v>25</v>
      </c>
      <c r="G121" s="17" t="n">
        <f aca="false">IF($F$21="","",$F$21*(p_wathan_a+p_wathan_b*EXP(-p_wathan_k*6))/100-IF(Parameters!$D$205=1,m_weight,0))</f>
        <v>24.2212962954796</v>
      </c>
      <c r="H121" s="17" t="n">
        <f aca="false">IF($F$21="","",$F$21*(p_wathan_a+p_wathan_b*EXP(-p_wathan_k*7))/100-IF(Parameters!$D$205=1,m_weight,0))</f>
        <v>23.4988590058309</v>
      </c>
      <c r="I121" s="17" t="n">
        <f aca="false">IF($F$21="","",$F$21*(p_wathan_a+p_wathan_b*EXP(-p_wathan_k*8))/100-IF(Parameters!$D$205=1,m_weight,0))</f>
        <v>22.8286225160784</v>
      </c>
      <c r="J121" s="17" t="n">
        <f aca="false">IF($F$21="","",$F$21*(p_wathan_a+p_wathan_b*EXP(-p_wathan_k*9))/100-IF(Parameters!$D$205=1,m_weight,0))</f>
        <v>22.2068149784109</v>
      </c>
      <c r="K121" s="17" t="n">
        <f aca="false">IF($F$21="","",$F$21*(p_wathan_a+p_wathan_b*EXP(-p_wathan_k*10))/100-IF(Parameters!$D$205=1,m_weight,0))</f>
        <v>21.6299370855898</v>
      </c>
    </row>
    <row r="122" customFormat="false" ht="15" hidden="false" customHeight="false" outlineLevel="0" collapsed="false">
      <c r="A122" s="6" t="str">
        <f aca="false">A22</f>
        <v>Push press</v>
      </c>
      <c r="B122" s="17" t="str">
        <f aca="false">IF($F$22="","",$F$22*(p_wathan_a+p_wathan_b*EXP(-p_wathan_k*1))/100-IF(Parameters!$D$206=1,m_weight,0))</f>
        <v/>
      </c>
      <c r="C122" s="17" t="str">
        <f aca="false">IF($F$22="","",$F$22*(p_wathan_a+p_wathan_b*EXP(-p_wathan_k*2))/100-IF(Parameters!$D$206=1,m_weight,0))</f>
        <v/>
      </c>
      <c r="D122" s="17" t="str">
        <f aca="false">IF($F$22="","",$F$22*(p_wathan_a+p_wathan_b*EXP(-p_wathan_k*3))/100-IF(Parameters!$D$206=1,m_weight,0))</f>
        <v/>
      </c>
      <c r="E122" s="17" t="str">
        <f aca="false">IF($F$22="","",$F$22*(p_wathan_a+p_wathan_b*EXP(-p_wathan_k*4))/100-IF(Parameters!$D$206=1,m_weight,0))</f>
        <v/>
      </c>
      <c r="F122" s="17" t="str">
        <f aca="false">IF($F$22="","",$F$22*(p_wathan_a+p_wathan_b*EXP(-p_wathan_k*5))/100-IF(Parameters!$D$206=1,m_weight,0))</f>
        <v/>
      </c>
      <c r="G122" s="17" t="str">
        <f aca="false">IF($F$22="","",$F$22*(p_wathan_a+p_wathan_b*EXP(-p_wathan_k*6))/100-IF(Parameters!$D$206=1,m_weight,0))</f>
        <v/>
      </c>
      <c r="H122" s="17" t="str">
        <f aca="false">IF($F$22="","",$F$22*(p_wathan_a+p_wathan_b*EXP(-p_wathan_k*7))/100-IF(Parameters!$D$206=1,m_weight,0))</f>
        <v/>
      </c>
      <c r="I122" s="17" t="str">
        <f aca="false">IF($F$22="","",$F$22*(p_wathan_a+p_wathan_b*EXP(-p_wathan_k*8))/100-IF(Parameters!$D$206=1,m_weight,0))</f>
        <v/>
      </c>
      <c r="J122" s="17" t="str">
        <f aca="false">IF($F$22="","",$F$22*(p_wathan_a+p_wathan_b*EXP(-p_wathan_k*9))/100-IF(Parameters!$D$206=1,m_weight,0))</f>
        <v/>
      </c>
      <c r="K122" s="17" t="str">
        <f aca="false">IF($F$22="","",$F$22*(p_wathan_a+p_wathan_b*EXP(-p_wathan_k*10))/100-IF(Parameters!$D$206=1,m_weight,0))</f>
        <v/>
      </c>
    </row>
    <row r="123" customFormat="false" ht="15" hidden="false" customHeight="false" outlineLevel="0" collapsed="false">
      <c r="A123" s="6" t="str">
        <f aca="false">A23</f>
        <v>Snatch press</v>
      </c>
      <c r="B123" s="17" t="str">
        <f aca="false">IF($F$23="","",$F$23*(p_wathan_a+p_wathan_b*EXP(-p_wathan_k*1))/100-IF(Parameters!$D$207=1,m_weight,0))</f>
        <v/>
      </c>
      <c r="C123" s="17" t="str">
        <f aca="false">IF($F$23="","",$F$23*(p_wathan_a+p_wathan_b*EXP(-p_wathan_k*2))/100-IF(Parameters!$D$207=1,m_weight,0))</f>
        <v/>
      </c>
      <c r="D123" s="17" t="str">
        <f aca="false">IF($F$23="","",$F$23*(p_wathan_a+p_wathan_b*EXP(-p_wathan_k*3))/100-IF(Parameters!$D$207=1,m_weight,0))</f>
        <v/>
      </c>
      <c r="E123" s="17" t="str">
        <f aca="false">IF($F$23="","",$F$23*(p_wathan_a+p_wathan_b*EXP(-p_wathan_k*4))/100-IF(Parameters!$D$207=1,m_weight,0))</f>
        <v/>
      </c>
      <c r="F123" s="17" t="str">
        <f aca="false">IF($F$23="","",$F$23*(p_wathan_a+p_wathan_b*EXP(-p_wathan_k*5))/100-IF(Parameters!$D$207=1,m_weight,0))</f>
        <v/>
      </c>
      <c r="G123" s="17" t="str">
        <f aca="false">IF($F$23="","",$F$23*(p_wathan_a+p_wathan_b*EXP(-p_wathan_k*6))/100-IF(Parameters!$D$207=1,m_weight,0))</f>
        <v/>
      </c>
      <c r="H123" s="17" t="str">
        <f aca="false">IF($F$23="","",$F$23*(p_wathan_a+p_wathan_b*EXP(-p_wathan_k*7))/100-IF(Parameters!$D$207=1,m_weight,0))</f>
        <v/>
      </c>
      <c r="I123" s="17" t="str">
        <f aca="false">IF($F$23="","",$F$23*(p_wathan_a+p_wathan_b*EXP(-p_wathan_k*8))/100-IF(Parameters!$D$207=1,m_weight,0))</f>
        <v/>
      </c>
      <c r="J123" s="17" t="str">
        <f aca="false">IF($F$23="","",$F$23*(p_wathan_a+p_wathan_b*EXP(-p_wathan_k*9))/100-IF(Parameters!$D$207=1,m_weight,0))</f>
        <v/>
      </c>
      <c r="K123" s="17" t="str">
        <f aca="false">IF($F$23="","",$F$23*(p_wathan_a+p_wathan_b*EXP(-p_wathan_k*10))/100-IF(Parameters!$D$207=1,m_weight,0))</f>
        <v/>
      </c>
    </row>
    <row r="124" customFormat="false" ht="15" hidden="false" customHeight="false" outlineLevel="0" collapsed="false">
      <c r="A124" s="6" t="str">
        <f aca="false">A24</f>
        <v>Chin-up</v>
      </c>
      <c r="B124" s="17" t="n">
        <f aca="false">IF($F$24="","",$F$24*(p_wathan_a+p_wathan_b*EXP(-p_wathan_k*1))/100-IF(Parameters!$D$208=1,m_weight,0))</f>
        <v>-24.5706162202827</v>
      </c>
      <c r="C124" s="17" t="n">
        <f aca="false">IF($F$24="","",$F$24*(p_wathan_a+p_wathan_b*EXP(-p_wathan_k*2))/100-IF(Parameters!$D$208=1,m_weight,0))</f>
        <v>-26.0842578980988</v>
      </c>
      <c r="D124" s="17" t="n">
        <f aca="false">IF($F$24="","",$F$24*(p_wathan_a+p_wathan_b*EXP(-p_wathan_k*3))/100-IF(Parameters!$D$208=1,m_weight,0))</f>
        <v>-27.488529105328</v>
      </c>
      <c r="E124" s="17" t="n">
        <f aca="false">IF($F$24="","",$F$24*(p_wathan_a+p_wathan_b*EXP(-p_wathan_k*4))/100-IF(Parameters!$D$208=1,m_weight,0))</f>
        <v>-28.7913325708737</v>
      </c>
      <c r="F124" s="17" t="n">
        <f aca="false">IF($F$24="","",$F$24*(p_wathan_a+p_wathan_b*EXP(-p_wathan_k*5))/100-IF(Parameters!$D$208=1,m_weight,0))</f>
        <v>-30</v>
      </c>
      <c r="G124" s="17" t="n">
        <f aca="false">IF($F$24="","",$F$24*(p_wathan_a+p_wathan_b*EXP(-p_wathan_k*6))/100-IF(Parameters!$D$208=1,m_weight,0))</f>
        <v>-31.1213333345094</v>
      </c>
      <c r="H124" s="17" t="n">
        <f aca="false">IF($F$24="","",$F$24*(p_wathan_a+p_wathan_b*EXP(-p_wathan_k*7))/100-IF(Parameters!$D$208=1,m_weight,0))</f>
        <v>-32.1616430316035</v>
      </c>
      <c r="I124" s="17" t="n">
        <f aca="false">IF($F$24="","",$F$24*(p_wathan_a+p_wathan_b*EXP(-p_wathan_k*8))/100-IF(Parameters!$D$208=1,m_weight,0))</f>
        <v>-33.1267835768471</v>
      </c>
      <c r="J124" s="17" t="n">
        <f aca="false">IF($F$24="","",$F$24*(p_wathan_a+p_wathan_b*EXP(-p_wathan_k*9))/100-IF(Parameters!$D$208=1,m_weight,0))</f>
        <v>-34.0221864310883</v>
      </c>
      <c r="K124" s="17" t="n">
        <f aca="false">IF($F$24="","",$F$24*(p_wathan_a+p_wathan_b*EXP(-p_wathan_k*10))/100-IF(Parameters!$D$208=1,m_weight,0))</f>
        <v>-34.8528905967507</v>
      </c>
    </row>
    <row r="125" customFormat="false" ht="15" hidden="false" customHeight="false" outlineLevel="0" collapsed="false">
      <c r="A125" s="6" t="str">
        <f aca="false">A25</f>
        <v>Pull-up</v>
      </c>
      <c r="B125" s="17" t="str">
        <f aca="false">IF($F$25="","",$F$25*(p_wathan_a+p_wathan_b*EXP(-p_wathan_k*1))/100-IF(Parameters!$D$209=1,m_weight,0))</f>
        <v/>
      </c>
      <c r="C125" s="17" t="str">
        <f aca="false">IF($F$25="","",$F$25*(p_wathan_a+p_wathan_b*EXP(-p_wathan_k*2))/100-IF(Parameters!$D$209=1,m_weight,0))</f>
        <v/>
      </c>
      <c r="D125" s="17" t="str">
        <f aca="false">IF($F$25="","",$F$25*(p_wathan_a+p_wathan_b*EXP(-p_wathan_k*3))/100-IF(Parameters!$D$209=1,m_weight,0))</f>
        <v/>
      </c>
      <c r="E125" s="17" t="str">
        <f aca="false">IF($F$25="","",$F$25*(p_wathan_a+p_wathan_b*EXP(-p_wathan_k*4))/100-IF(Parameters!$D$209=1,m_weight,0))</f>
        <v/>
      </c>
      <c r="F125" s="17" t="str">
        <f aca="false">IF($F$25="","",$F$25*(p_wathan_a+p_wathan_b*EXP(-p_wathan_k*5))/100-IF(Parameters!$D$209=1,m_weight,0))</f>
        <v/>
      </c>
      <c r="G125" s="17" t="str">
        <f aca="false">IF($F$25="","",$F$25*(p_wathan_a+p_wathan_b*EXP(-p_wathan_k*6))/100-IF(Parameters!$D$209=1,m_weight,0))</f>
        <v/>
      </c>
      <c r="H125" s="17" t="str">
        <f aca="false">IF($F$25="","",$F$25*(p_wathan_a+p_wathan_b*EXP(-p_wathan_k*7))/100-IF(Parameters!$D$209=1,m_weight,0))</f>
        <v/>
      </c>
      <c r="I125" s="17" t="str">
        <f aca="false">IF($F$25="","",$F$25*(p_wathan_a+p_wathan_b*EXP(-p_wathan_k*8))/100-IF(Parameters!$D$209=1,m_weight,0))</f>
        <v/>
      </c>
      <c r="J125" s="17" t="str">
        <f aca="false">IF($F$25="","",$F$25*(p_wathan_a+p_wathan_b*EXP(-p_wathan_k*9))/100-IF(Parameters!$D$209=1,m_weight,0))</f>
        <v/>
      </c>
      <c r="K125" s="17" t="str">
        <f aca="false">IF($F$25="","",$F$25*(p_wathan_a+p_wathan_b*EXP(-p_wathan_k*10))/100-IF(Parameters!$D$209=1,m_weight,0))</f>
        <v/>
      </c>
    </row>
    <row r="126" customFormat="false" ht="15" hidden="false" customHeight="false" outlineLevel="0" collapsed="false">
      <c r="A126" s="6" t="str">
        <f aca="false">A26</f>
        <v>Pendlay row</v>
      </c>
      <c r="B126" s="17" t="str">
        <f aca="false">IF($F$26="","",$F$26*(p_wathan_a+p_wathan_b*EXP(-p_wathan_k*1))/100-IF(Parameters!$D$210=1,m_weight,0))</f>
        <v/>
      </c>
      <c r="C126" s="17" t="str">
        <f aca="false">IF($F$26="","",$F$26*(p_wathan_a+p_wathan_b*EXP(-p_wathan_k*2))/100-IF(Parameters!$D$210=1,m_weight,0))</f>
        <v/>
      </c>
      <c r="D126" s="17" t="str">
        <f aca="false">IF($F$26="","",$F$26*(p_wathan_a+p_wathan_b*EXP(-p_wathan_k*3))/100-IF(Parameters!$D$210=1,m_weight,0))</f>
        <v/>
      </c>
      <c r="E126" s="17" t="str">
        <f aca="false">IF($F$26="","",$F$26*(p_wathan_a+p_wathan_b*EXP(-p_wathan_k*4))/100-IF(Parameters!$D$210=1,m_weight,0))</f>
        <v/>
      </c>
      <c r="F126" s="17" t="str">
        <f aca="false">IF($F$26="","",$F$26*(p_wathan_a+p_wathan_b*EXP(-p_wathan_k*5))/100-IF(Parameters!$D$210=1,m_weight,0))</f>
        <v/>
      </c>
      <c r="G126" s="17" t="str">
        <f aca="false">IF($F$26="","",$F$26*(p_wathan_a+p_wathan_b*EXP(-p_wathan_k*6))/100-IF(Parameters!$D$210=1,m_weight,0))</f>
        <v/>
      </c>
      <c r="H126" s="17" t="str">
        <f aca="false">IF($F$26="","",$F$26*(p_wathan_a+p_wathan_b*EXP(-p_wathan_k*7))/100-IF(Parameters!$D$210=1,m_weight,0))</f>
        <v/>
      </c>
      <c r="I126" s="17" t="str">
        <f aca="false">IF($F$26="","",$F$26*(p_wathan_a+p_wathan_b*EXP(-p_wathan_k*8))/100-IF(Parameters!$D$210=1,m_weight,0))</f>
        <v/>
      </c>
      <c r="J126" s="17" t="str">
        <f aca="false">IF($F$26="","",$F$26*(p_wathan_a+p_wathan_b*EXP(-p_wathan_k*9))/100-IF(Parameters!$D$210=1,m_weight,0))</f>
        <v/>
      </c>
      <c r="K126" s="17" t="str">
        <f aca="false">IF($F$26="","",$F$26*(p_wathan_a+p_wathan_b*EXP(-p_wathan_k*10))/100-IF(Parameters!$D$210=1,m_weight,0))</f>
        <v/>
      </c>
    </row>
    <row r="127" customFormat="false" ht="15" hidden="false" customHeight="false" outlineLevel="0" collapsed="false">
      <c r="A127" s="6" t="str">
        <f aca="false">A27</f>
        <v>Lat pulldown</v>
      </c>
      <c r="B127" s="17" t="str">
        <f aca="false">IF($F$27="","",$F$27*(p_wathan_a+p_wathan_b*EXP(-p_wathan_k*1))/100-IF(Parameters!$D$211=1,m_weight,0))</f>
        <v/>
      </c>
      <c r="C127" s="17" t="str">
        <f aca="false">IF($F$27="","",$F$27*(p_wathan_a+p_wathan_b*EXP(-p_wathan_k*2))/100-IF(Parameters!$D$211=1,m_weight,0))</f>
        <v/>
      </c>
      <c r="D127" s="17" t="str">
        <f aca="false">IF($F$27="","",$F$27*(p_wathan_a+p_wathan_b*EXP(-p_wathan_k*3))/100-IF(Parameters!$D$211=1,m_weight,0))</f>
        <v/>
      </c>
      <c r="E127" s="17" t="str">
        <f aca="false">IF($F$27="","",$F$27*(p_wathan_a+p_wathan_b*EXP(-p_wathan_k*4))/100-IF(Parameters!$D$211=1,m_weight,0))</f>
        <v/>
      </c>
      <c r="F127" s="17" t="str">
        <f aca="false">IF($F$27="","",$F$27*(p_wathan_a+p_wathan_b*EXP(-p_wathan_k*5))/100-IF(Parameters!$D$211=1,m_weight,0))</f>
        <v/>
      </c>
      <c r="G127" s="17" t="str">
        <f aca="false">IF($F$27="","",$F$27*(p_wathan_a+p_wathan_b*EXP(-p_wathan_k*6))/100-IF(Parameters!$D$211=1,m_weight,0))</f>
        <v/>
      </c>
      <c r="H127" s="17" t="str">
        <f aca="false">IF($F$27="","",$F$27*(p_wathan_a+p_wathan_b*EXP(-p_wathan_k*7))/100-IF(Parameters!$D$211=1,m_weight,0))</f>
        <v/>
      </c>
      <c r="I127" s="17" t="str">
        <f aca="false">IF($F$27="","",$F$27*(p_wathan_a+p_wathan_b*EXP(-p_wathan_k*8))/100-IF(Parameters!$D$211=1,m_weight,0))</f>
        <v/>
      </c>
      <c r="J127" s="17" t="str">
        <f aca="false">IF($F$27="","",$F$27*(p_wathan_a+p_wathan_b*EXP(-p_wathan_k*9))/100-IF(Parameters!$D$211=1,m_weight,0))</f>
        <v/>
      </c>
      <c r="K127" s="17" t="str">
        <f aca="false">IF($F$27="","",$F$27*(p_wathan_a+p_wathan_b*EXP(-p_wathan_k*10))/100-IF(Parameters!$D$211=1,m_weight,0))</f>
        <v/>
      </c>
    </row>
    <row r="128" customFormat="false" ht="15" hidden="false" customHeight="false" outlineLevel="0" collapsed="false">
      <c r="A128" s="6" t="str">
        <f aca="false">A28</f>
        <v>Seated cable row</v>
      </c>
      <c r="B128" s="17" t="str">
        <f aca="false">IF($F$28="","",$F$28*(p_wathan_a+p_wathan_b*EXP(-p_wathan_k*1))/100-IF(Parameters!$D$212=1,m_weight,0))</f>
        <v/>
      </c>
      <c r="C128" s="17" t="str">
        <f aca="false">IF($F$28="","",$F$28*(p_wathan_a+p_wathan_b*EXP(-p_wathan_k*2))/100-IF(Parameters!$D$212=1,m_weight,0))</f>
        <v/>
      </c>
      <c r="D128" s="17" t="str">
        <f aca="false">IF($F$28="","",$F$28*(p_wathan_a+p_wathan_b*EXP(-p_wathan_k*3))/100-IF(Parameters!$D$212=1,m_weight,0))</f>
        <v/>
      </c>
      <c r="E128" s="17" t="str">
        <f aca="false">IF($F$28="","",$F$28*(p_wathan_a+p_wathan_b*EXP(-p_wathan_k*4))/100-IF(Parameters!$D$212=1,m_weight,0))</f>
        <v/>
      </c>
      <c r="F128" s="17" t="str">
        <f aca="false">IF($F$28="","",$F$28*(p_wathan_a+p_wathan_b*EXP(-p_wathan_k*5))/100-IF(Parameters!$D$212=1,m_weight,0))</f>
        <v/>
      </c>
      <c r="G128" s="17" t="str">
        <f aca="false">IF($F$28="","",$F$28*(p_wathan_a+p_wathan_b*EXP(-p_wathan_k*6))/100-IF(Parameters!$D$212=1,m_weight,0))</f>
        <v/>
      </c>
      <c r="H128" s="17" t="str">
        <f aca="false">IF($F$28="","",$F$28*(p_wathan_a+p_wathan_b*EXP(-p_wathan_k*7))/100-IF(Parameters!$D$212=1,m_weight,0))</f>
        <v/>
      </c>
      <c r="I128" s="17" t="str">
        <f aca="false">IF($F$28="","",$F$28*(p_wathan_a+p_wathan_b*EXP(-p_wathan_k*8))/100-IF(Parameters!$D$212=1,m_weight,0))</f>
        <v/>
      </c>
      <c r="J128" s="17" t="str">
        <f aca="false">IF($F$28="","",$F$28*(p_wathan_a+p_wathan_b*EXP(-p_wathan_k*9))/100-IF(Parameters!$D$212=1,m_weight,0))</f>
        <v/>
      </c>
      <c r="K128" s="17" t="str">
        <f aca="false">IF($F$28="","",$F$28*(p_wathan_a+p_wathan_b*EXP(-p_wathan_k*10))/100-IF(Parameters!$D$212=1,m_weight,0))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2026-09-24T09:24:21Z</dcterms:created>
  <dc:creator>openpyxl</dc:creator>
  <dc:description/>
  <dc:language>en-US</dc:language>
  <cp:lastModifiedBy/>
  <dcterms:modified xsi:type="dcterms:W3CDTF">2026-09-24T09:24:23Z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